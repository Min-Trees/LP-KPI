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Xây dựng bảng lương\"/>
    </mc:Choice>
  </mc:AlternateContent>
  <xr:revisionPtr revIDLastSave="0" documentId="8_{BA6E4989-878D-475C-830A-32E2A0464932}" xr6:coauthVersionLast="47" xr6:coauthVersionMax="47" xr10:uidLastSave="{00000000-0000-0000-0000-000000000000}"/>
  <bookViews>
    <workbookView xWindow="-108" yWindow="-108" windowWidth="23256" windowHeight="13896" xr2:uid="{29F59036-79FA-41C0-AFE4-BB6D9224DDF6}"/>
  </bookViews>
  <sheets>
    <sheet name="Manager" sheetId="1" r:id="rId1"/>
    <sheet name="Văn phòng + Hỗ trợ" sheetId="4" r:id="rId2"/>
    <sheet name="Giáo viên HS" sheetId="2" r:id="rId3"/>
    <sheet name="Giáo viên ST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3" i="4" l="1"/>
  <c r="AJ25" i="4"/>
  <c r="AJ24" i="4"/>
  <c r="AJ23" i="4"/>
  <c r="AJ31" i="4"/>
  <c r="AJ30" i="4"/>
  <c r="AJ29" i="4"/>
  <c r="AJ28" i="4"/>
  <c r="AJ27" i="4"/>
  <c r="AJ26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AJ6" i="4"/>
  <c r="AJ5" i="4"/>
  <c r="B48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L17" i="3" s="1"/>
  <c r="AM17" i="3" s="1"/>
  <c r="AJ16" i="3"/>
  <c r="AJ15" i="3"/>
  <c r="AJ14" i="3"/>
  <c r="AJ13" i="3"/>
  <c r="AJ12" i="3"/>
  <c r="AJ11" i="3"/>
  <c r="AJ10" i="3"/>
  <c r="AJ9" i="3"/>
  <c r="AJ8" i="3"/>
  <c r="AJ7" i="3"/>
  <c r="AJ6" i="3"/>
  <c r="AJ5" i="3"/>
  <c r="B24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6" i="1"/>
  <c r="AJ7" i="1"/>
  <c r="AJ8" i="1"/>
  <c r="AJ9" i="1"/>
  <c r="AJ10" i="1"/>
  <c r="AJ11" i="1"/>
  <c r="AJ12" i="1"/>
  <c r="AJ13" i="1"/>
  <c r="AJ5" i="1"/>
  <c r="B15" i="1"/>
  <c r="AL8" i="4" l="1"/>
  <c r="AM8" i="4" s="1"/>
  <c r="AL20" i="4"/>
  <c r="AM20" i="4" s="1"/>
  <c r="AL11" i="4"/>
  <c r="AM11" i="4" s="1"/>
  <c r="AL5" i="4"/>
  <c r="AM5" i="4" s="1"/>
  <c r="AL17" i="4"/>
  <c r="AM17" i="4" s="1"/>
  <c r="AL26" i="4"/>
  <c r="AM26" i="4" s="1"/>
  <c r="AL23" i="4"/>
  <c r="AM23" i="4" s="1"/>
  <c r="AL14" i="4"/>
  <c r="AM14" i="4" s="1"/>
  <c r="AL29" i="4"/>
  <c r="AM29" i="4" s="1"/>
  <c r="AL5" i="3"/>
  <c r="AM5" i="3" s="1"/>
  <c r="AL20" i="3"/>
  <c r="AM20" i="3" s="1"/>
  <c r="AL32" i="3"/>
  <c r="AM32" i="3" s="1"/>
  <c r="AL38" i="3"/>
  <c r="AM38" i="3" s="1"/>
  <c r="AL41" i="3"/>
  <c r="AM41" i="3" s="1"/>
  <c r="AL14" i="3"/>
  <c r="AM14" i="3" s="1"/>
  <c r="AL26" i="3"/>
  <c r="AM26" i="3" s="1"/>
  <c r="AL35" i="3"/>
  <c r="AM35" i="3" s="1"/>
  <c r="AL29" i="3"/>
  <c r="AM29" i="3" s="1"/>
  <c r="AL11" i="3"/>
  <c r="AM11" i="3" s="1"/>
  <c r="AL8" i="3"/>
  <c r="AM8" i="3" s="1"/>
  <c r="AL44" i="3"/>
  <c r="AM44" i="3" s="1"/>
  <c r="AL23" i="3"/>
  <c r="AM23" i="3" s="1"/>
  <c r="AL11" i="2"/>
  <c r="AM11" i="2" s="1"/>
  <c r="AL20" i="2"/>
  <c r="AM20" i="2" s="1"/>
  <c r="AL5" i="2"/>
  <c r="AM5" i="2" s="1"/>
  <c r="AL14" i="2"/>
  <c r="AM14" i="2" s="1"/>
  <c r="AL17" i="2"/>
  <c r="AM17" i="2" s="1"/>
  <c r="AL8" i="2"/>
  <c r="AM8" i="2" s="1"/>
  <c r="AL8" i="1"/>
  <c r="AM8" i="1" s="1"/>
  <c r="AL11" i="1"/>
  <c r="AM11" i="1" s="1"/>
  <c r="AL5" i="1"/>
  <c r="AM5" i="1" s="1"/>
  <c r="B5" i="1"/>
</calcChain>
</file>

<file path=xl/sharedStrings.xml><?xml version="1.0" encoding="utf-8"?>
<sst xmlns="http://schemas.openxmlformats.org/spreadsheetml/2006/main" count="395" uniqueCount="92">
  <si>
    <t>Tên</t>
  </si>
  <si>
    <t>Điểm KPI</t>
  </si>
  <si>
    <t>% Đổi thưởng</t>
  </si>
  <si>
    <t>Nội quy và kỷ luật</t>
  </si>
  <si>
    <t>Chất lượng dịch vụ</t>
  </si>
  <si>
    <t>Mỗi tiêu chí sẽ có điểm chuẩn là 100.</t>
  </si>
  <si>
    <t>Nội quy lao động và kỷ luật theo Quý</t>
  </si>
  <si>
    <t>-2đ/lần</t>
  </si>
  <si>
    <t>Đi làm trễ hoặc về sớm &lt;30ph không có lý do chính đáng</t>
  </si>
  <si>
    <t>-5đ-10đ/lần</t>
  </si>
  <si>
    <t>Đi làm trễ hoặc về sớm &gt;30ph và &lt; 90ph không có lý do chính đáng</t>
  </si>
  <si>
    <t>-10đ/lần</t>
  </si>
  <si>
    <t>Nghỉ không thông báo mà không có lý do chính đáng</t>
  </si>
  <si>
    <t>-5đ/lần</t>
  </si>
  <si>
    <t>Nghỉ không thông báo nhưng có lý do chính đáng</t>
  </si>
  <si>
    <t>Không tuân thủ quy trình, nội quy của nhà trường</t>
  </si>
  <si>
    <t>-20đ/lần</t>
  </si>
  <si>
    <t>Bị xử lý kỷ luật bằng hình thức khiển trách lời nói, email, zalo nhắc nhở</t>
  </si>
  <si>
    <t>-30đ/lần</t>
  </si>
  <si>
    <t>Bị xử lý kỷ luật bằng hình thức khiển trách bằng văn bản</t>
  </si>
  <si>
    <t>0 đ</t>
  </si>
  <si>
    <t>Nếu có 2 biên bản trong 01 quý</t>
  </si>
  <si>
    <t>Chất lượng công việc</t>
  </si>
  <si>
    <t>Không hoàn thành công việc được giao đúng thời hạn mà không có lý do chính đáng</t>
  </si>
  <si>
    <t>Hồ sơ, sổ sách, báo cáo hoặc biểu mẫu sai sót, phải chỉnh sửa</t>
  </si>
  <si>
    <t>Không thực hiện hoặc thực hiện không đầy đủ quy trình chuyên môn theo quy định của Nhà trường</t>
  </si>
  <si>
    <t>Công việc bị nhắc nhở nhiều lần do thiếu trách nhiệm hoặc thiếu chủ động</t>
  </si>
  <si>
    <t>-10--&gt;20đ/lần</t>
  </si>
  <si>
    <t>Để xảy ra sai sót ảnh hưởng đến chất lượng chăm sóc, giáo dục hoặc hoạt động của Nhà trường</t>
  </si>
  <si>
    <t>Có khiếu nại của phụ huynh được xác minh là đúng</t>
  </si>
  <si>
    <t>-20đ--&gt;40đ/lần</t>
  </si>
  <si>
    <t>Khiếu nại nghiêm trọng ảnh hưởng đến uy tín của Nhà trường</t>
  </si>
  <si>
    <t>Giao tiếp, ứng xử với phụ huynh, học sinh hoặc đồng nghiệp không phù hợp</t>
  </si>
  <si>
    <t>Bị nhắc nhở bằng văn bản về thái độ, tác phong phục vụ</t>
  </si>
  <si>
    <t>Các khoản điểm thưởng</t>
  </si>
  <si>
    <t>Tuân thủ 100% nghiêm túc, đến sớm để chuẩn bị công việc chỉnh chu</t>
  </si>
  <si>
    <t>+ tối đa 10đ</t>
  </si>
  <si>
    <t>chủ động nhắc nhở đồng nghiệp thực hiện tốt</t>
  </si>
  <si>
    <t>Chất lượng công việc: có sáng kiến, hỗ trợ đồng nghiệp hoàn thành</t>
  </si>
  <si>
    <t>BGH, BGĐ khen</t>
  </si>
  <si>
    <t>Chất lượng dịch vụ: được phụ huynh khen (email, tin nhắn, thư…)</t>
  </si>
  <si>
    <t>tích cực tham gia phong trào, BGH BGĐ khen vế CLDV</t>
  </si>
  <si>
    <t>Tổng điểm của mỗi tiêu chí sau các khoảng cộng và trừ thì không được cao hơn 105 điểm</t>
  </si>
  <si>
    <t>Điểm</t>
  </si>
  <si>
    <t>Quy đổi</t>
  </si>
  <si>
    <t>&gt;100 điểm</t>
  </si>
  <si>
    <t>95–100 điểm</t>
  </si>
  <si>
    <t>90–94 điểm</t>
  </si>
  <si>
    <t>80–89 điểm</t>
  </si>
  <si>
    <t>70–79 điểm</t>
  </si>
  <si>
    <t>&lt;70 điểm</t>
  </si>
  <si>
    <t>Tiêu chí</t>
  </si>
  <si>
    <t>Mã NV</t>
  </si>
  <si>
    <t>Chuyên môn, chất lượng giảng dạy</t>
  </si>
  <si>
    <t>Trọng số</t>
  </si>
  <si>
    <t>Hồ Ngọc Mỹ Trinh</t>
  </si>
  <si>
    <t>Trần Thị Tuyết Linh</t>
  </si>
  <si>
    <t>Nguyễn Lý Phương Uyên</t>
  </si>
  <si>
    <t>Huỳnh Phát Lộc</t>
  </si>
  <si>
    <t xml:space="preserve">Lê Thị Thanh Mai </t>
  </si>
  <si>
    <t>Nguyễn Thị Thắm</t>
  </si>
  <si>
    <t>Nguyễn Thị Băng Tâm</t>
  </si>
  <si>
    <t>Nguyễn Kim Ngân</t>
  </si>
  <si>
    <t>Bế Thị Ngọc Diễm</t>
  </si>
  <si>
    <t>Lê Thị Ngọc Tuyết</t>
  </si>
  <si>
    <t>Nguyễn Thị Mai Hương</t>
  </si>
  <si>
    <t>Lê Thị Kim Nguyên</t>
  </si>
  <si>
    <t>Trần Thái Thiên Thảo</t>
  </si>
  <si>
    <t>Nguyễn Thị Thu Huyền</t>
  </si>
  <si>
    <t>Vương Thanh Hà Trang</t>
  </si>
  <si>
    <t>Trần Thị Thanh Trúc</t>
  </si>
  <si>
    <t>Phạm Huỳnh Anh Thư</t>
  </si>
  <si>
    <t>Thạch Thảo</t>
  </si>
  <si>
    <t>Nguyễn Thị Hồng Thi</t>
  </si>
  <si>
    <t>Võ Lê Thị Huyền Trang</t>
  </si>
  <si>
    <t>Danh Thị Thùy Trang</t>
  </si>
  <si>
    <t>Lê Thị Trường An</t>
  </si>
  <si>
    <t>Hoàng Đình Chinh</t>
  </si>
  <si>
    <t>Võ Thị Quít</t>
  </si>
  <si>
    <t>Nguyễn Thị Kiều Trinh</t>
  </si>
  <si>
    <t>Huỳnh Thị Vân Trang</t>
  </si>
  <si>
    <t>Ngô Thị Ánh Tuyết</t>
  </si>
  <si>
    <t>Nguyễn Thị Thuỳ Trang (thử việc)</t>
  </si>
  <si>
    <t>Hà Thị Kim Ngân (thử việc)</t>
  </si>
  <si>
    <t>Nguyễn Thị Lệ Dung (Y tế)</t>
  </si>
  <si>
    <t>Nguyễn Bùi Tường Vy (Thử việc)</t>
  </si>
  <si>
    <t>Điểm/Ngày trong tháng</t>
  </si>
  <si>
    <t>Tổng điểm</t>
  </si>
  <si>
    <t>Điểm chuẩn</t>
  </si>
  <si>
    <t>BẢNG CHẤM KPI 1</t>
  </si>
  <si>
    <t>Chuyên môn</t>
  </si>
  <si>
    <t>Chất lượng dịch vụ/Thái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</si>
</sst>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41" fontId="0" fillId="0" borderId="0" xfId="0" applyNumberFormat="1"/>
    <xf numFmtId="164" fontId="0" fillId="0" borderId="0" xfId="0" applyNumberFormat="1"/>
    <xf numFmtId="0" fontId="0" fillId="0" borderId="1" xfId="0" applyBorder="1"/>
    <xf numFmtId="0" fontId="3" fillId="0" borderId="1" xfId="0" applyFont="1" applyBorder="1"/>
    <xf numFmtId="41" fontId="0" fillId="0" borderId="1" xfId="0" applyNumberFormat="1" applyBorder="1"/>
    <xf numFmtId="9" fontId="0" fillId="0" borderId="1" xfId="0" applyNumberFormat="1" applyBorder="1" applyAlignment="1">
      <alignment horizontal="center" wrapText="1"/>
    </xf>
    <xf numFmtId="165" fontId="5" fillId="0" borderId="2" xfId="1" applyNumberFormat="1" applyFont="1" applyFill="1" applyBorder="1" applyAlignment="1">
      <alignment vertical="center"/>
    </xf>
    <xf numFmtId="0" fontId="0" fillId="0" borderId="0" xfId="0" quotePrefix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9" fontId="5" fillId="0" borderId="2" xfId="2" applyFont="1" applyFill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/>
    </xf>
    <xf numFmtId="41" fontId="3" fillId="0" borderId="5" xfId="0" applyNumberFormat="1" applyFont="1" applyBorder="1" applyAlignment="1">
      <alignment horizontal="center"/>
    </xf>
    <xf numFmtId="41" fontId="3" fillId="0" borderId="6" xfId="0" applyNumberFormat="1" applyFont="1" applyBorder="1" applyAlignment="1">
      <alignment horizontal="center"/>
    </xf>
    <xf numFmtId="41" fontId="3" fillId="0" borderId="7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165" fontId="5" fillId="0" borderId="2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/>
    <xf numFmtId="0" fontId="0" fillId="0" borderId="2" xfId="0" applyBorder="1"/>
    <xf numFmtId="0" fontId="0" fillId="0" borderId="2" xfId="0" applyBorder="1" applyAlignment="1">
      <alignment horizontal="center" wrapText="1"/>
    </xf>
    <xf numFmtId="165" fontId="0" fillId="0" borderId="1" xfId="1" applyNumberFormat="1" applyFont="1" applyBorder="1" applyAlignment="1"/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2" fillId="0" borderId="0" xfId="0" applyFont="1"/>
    <xf numFmtId="41" fontId="0" fillId="0" borderId="0" xfId="0" applyNumberFormat="1" applyAlignment="1"/>
    <xf numFmtId="0" fontId="0" fillId="0" borderId="0" xfId="0" quotePrefix="1" applyAlignment="1">
      <alignment horizontal="left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ang%20B&#7843;ng%20l&#432;&#417;ng_30.07.2026_Chi%20Minh_T&#237;n_anh%20Du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ng lương dự kiến"/>
      <sheetName val="Bảng lương LC"/>
      <sheetName val="Bảng lương LT"/>
      <sheetName val="Bảng lương văn phòng"/>
      <sheetName val="Bảng tính KPI 1-LC"/>
      <sheetName val="Bảng tính KPI 1-LT"/>
      <sheetName val="Bảng tính KPI 1- văn phòng"/>
      <sheetName val="Planned KPI 1-LC"/>
      <sheetName val="Bảng xử lý số liệu lương"/>
      <sheetName val="BẢNG LƯƠNG THÁNG"/>
    </sheetNames>
    <sheetDataSet>
      <sheetData sheetId="0"/>
      <sheetData sheetId="1">
        <row r="7">
          <cell r="B7">
            <v>1001</v>
          </cell>
          <cell r="C7" t="str">
            <v>HP</v>
          </cell>
          <cell r="D7" t="str">
            <v>Châu Nguyễn Kim Yến</v>
          </cell>
          <cell r="E7" t="str">
            <v>Đại học</v>
          </cell>
          <cell r="F7" t="str">
            <v>Bậc 2</v>
          </cell>
          <cell r="G7">
            <v>7350000</v>
          </cell>
          <cell r="H7" t="str">
            <v>Bậc 3</v>
          </cell>
          <cell r="I7">
            <v>2100000</v>
          </cell>
          <cell r="J7">
            <v>9450000</v>
          </cell>
          <cell r="K7">
            <v>1000000</v>
          </cell>
          <cell r="L7">
            <v>1000000</v>
          </cell>
          <cell r="M7">
            <v>1200000</v>
          </cell>
          <cell r="N7">
            <v>1300000</v>
          </cell>
          <cell r="O7">
            <v>1200000</v>
          </cell>
          <cell r="P7" t="str">
            <v>130 trẻ</v>
          </cell>
          <cell r="Q7">
            <v>1000000</v>
          </cell>
          <cell r="R7">
            <v>16150000</v>
          </cell>
          <cell r="S7">
            <v>14000000</v>
          </cell>
          <cell r="T7">
            <v>8000000</v>
          </cell>
          <cell r="U7">
            <v>1450000</v>
          </cell>
        </row>
        <row r="8">
          <cell r="B8">
            <v>1002</v>
          </cell>
          <cell r="C8" t="str">
            <v>TP</v>
          </cell>
          <cell r="D8" t="str">
            <v>Hồ Ngọc Mỹ Trinh</v>
          </cell>
          <cell r="E8" t="str">
            <v>Đại học</v>
          </cell>
          <cell r="F8" t="str">
            <v>Bậc 2</v>
          </cell>
          <cell r="G8">
            <v>8400000</v>
          </cell>
          <cell r="H8" t="str">
            <v>Bậc 2</v>
          </cell>
          <cell r="I8">
            <v>2200000</v>
          </cell>
          <cell r="J8">
            <v>10600000</v>
          </cell>
          <cell r="K8">
            <v>1000000</v>
          </cell>
          <cell r="L8">
            <v>1000000</v>
          </cell>
          <cell r="M8">
            <v>1200000</v>
          </cell>
          <cell r="N8">
            <v>1500000</v>
          </cell>
          <cell r="O8">
            <v>2000000</v>
          </cell>
          <cell r="P8" t="str">
            <v>130 trẻ</v>
          </cell>
          <cell r="Q8">
            <v>2000000</v>
          </cell>
          <cell r="R8">
            <v>19300000</v>
          </cell>
          <cell r="S8">
            <v>20460000</v>
          </cell>
          <cell r="T8">
            <v>10580000</v>
          </cell>
          <cell r="U8">
            <v>20000</v>
          </cell>
        </row>
        <row r="9">
          <cell r="B9">
            <v>1003</v>
          </cell>
          <cell r="C9" t="str">
            <v>HP</v>
          </cell>
          <cell r="D9" t="str">
            <v>Trần Thị Tuyết Linh</v>
          </cell>
          <cell r="E9" t="str">
            <v>Đại học</v>
          </cell>
          <cell r="F9" t="str">
            <v>Bậc 2</v>
          </cell>
          <cell r="G9">
            <v>7350000</v>
          </cell>
          <cell r="H9" t="str">
            <v>Bậc 1</v>
          </cell>
          <cell r="I9">
            <v>1000000</v>
          </cell>
          <cell r="J9">
            <v>8350000</v>
          </cell>
          <cell r="K9">
            <v>1000000</v>
          </cell>
          <cell r="L9">
            <v>1000000</v>
          </cell>
          <cell r="M9">
            <v>1200000</v>
          </cell>
          <cell r="N9">
            <v>1300000</v>
          </cell>
          <cell r="O9">
            <v>1200000</v>
          </cell>
          <cell r="P9" t="str">
            <v>130 trẻ</v>
          </cell>
          <cell r="Q9">
            <v>1000000</v>
          </cell>
          <cell r="R9">
            <v>15050000</v>
          </cell>
          <cell r="S9">
            <v>12500000</v>
          </cell>
          <cell r="T9">
            <v>7448000</v>
          </cell>
          <cell r="U9">
            <v>902000</v>
          </cell>
        </row>
        <row r="10">
          <cell r="B10">
            <v>1004</v>
          </cell>
          <cell r="C10" t="str">
            <v>NVNV1</v>
          </cell>
          <cell r="D10" t="str">
            <v>Nguyễn Lý Phương Uyên</v>
          </cell>
          <cell r="E10" t="str">
            <v>Đại học</v>
          </cell>
          <cell r="F10" t="str">
            <v>Bậc 2</v>
          </cell>
          <cell r="G10">
            <v>6250000</v>
          </cell>
          <cell r="H10" t="str">
            <v>Bậc 3</v>
          </cell>
          <cell r="I10">
            <v>450000</v>
          </cell>
          <cell r="J10">
            <v>6700000</v>
          </cell>
          <cell r="K10">
            <v>800000</v>
          </cell>
          <cell r="L10">
            <v>500000</v>
          </cell>
          <cell r="M10">
            <v>1200000</v>
          </cell>
          <cell r="N10">
            <v>1000000</v>
          </cell>
          <cell r="O10">
            <v>800000</v>
          </cell>
          <cell r="P10" t="str">
            <v>130 trẻ</v>
          </cell>
          <cell r="Q10">
            <v>600000</v>
          </cell>
          <cell r="R10">
            <v>11600000</v>
          </cell>
          <cell r="S10">
            <v>11550000</v>
          </cell>
          <cell r="T10">
            <v>5682000</v>
          </cell>
          <cell r="U10">
            <v>1018000</v>
          </cell>
        </row>
        <row r="11">
          <cell r="B11">
            <v>1005</v>
          </cell>
          <cell r="C11" t="str">
            <v>NVNV1</v>
          </cell>
          <cell r="D11" t="str">
            <v>Huỳnh Phát Lộc</v>
          </cell>
          <cell r="E11" t="str">
            <v>Đại học</v>
          </cell>
          <cell r="F11" t="str">
            <v>Bậc 3</v>
          </cell>
          <cell r="G11">
            <v>6570000</v>
          </cell>
          <cell r="H11" t="str">
            <v>Bậc 3</v>
          </cell>
          <cell r="I11">
            <v>450000</v>
          </cell>
          <cell r="J11">
            <v>7020000</v>
          </cell>
          <cell r="K11">
            <v>800000</v>
          </cell>
          <cell r="L11">
            <v>500000</v>
          </cell>
          <cell r="M11">
            <v>1200000</v>
          </cell>
          <cell r="N11">
            <v>1000000</v>
          </cell>
          <cell r="O11">
            <v>800000</v>
          </cell>
          <cell r="P11" t="str">
            <v>130 trẻ</v>
          </cell>
          <cell r="Q11">
            <v>600000</v>
          </cell>
          <cell r="R11">
            <v>11920000</v>
          </cell>
          <cell r="S11">
            <v>12500000</v>
          </cell>
          <cell r="T11">
            <v>5682000</v>
          </cell>
          <cell r="U11">
            <v>1338000</v>
          </cell>
        </row>
        <row r="12">
          <cell r="B12">
            <v>1006</v>
          </cell>
          <cell r="C12" t="str">
            <v>GVHS1</v>
          </cell>
          <cell r="D12" t="str">
            <v xml:space="preserve">Lê Thị Thanh Mai </v>
          </cell>
          <cell r="E12" t="str">
            <v>Đại học</v>
          </cell>
          <cell r="F12" t="str">
            <v>Bậc 2</v>
          </cell>
          <cell r="G12">
            <v>6420000</v>
          </cell>
          <cell r="H12" t="str">
            <v>Bậc 4</v>
          </cell>
          <cell r="I12">
            <v>1100000</v>
          </cell>
          <cell r="J12">
            <v>7520000</v>
          </cell>
          <cell r="K12">
            <v>800000</v>
          </cell>
          <cell r="L12">
            <v>500000</v>
          </cell>
          <cell r="M12">
            <v>1200000</v>
          </cell>
          <cell r="N12">
            <v>1300000</v>
          </cell>
          <cell r="O12">
            <v>1000000</v>
          </cell>
          <cell r="P12" t="str">
            <v>HS Đạt 80%</v>
          </cell>
          <cell r="Q12">
            <v>1400000</v>
          </cell>
          <cell r="R12">
            <v>13720000</v>
          </cell>
          <cell r="S12">
            <v>13500000</v>
          </cell>
          <cell r="T12">
            <v>5682000</v>
          </cell>
          <cell r="U12">
            <v>1838000</v>
          </cell>
        </row>
        <row r="13">
          <cell r="B13">
            <v>1007</v>
          </cell>
          <cell r="C13" t="str">
            <v>GVHS1</v>
          </cell>
          <cell r="D13" t="str">
            <v>Nguyễn Thị Thắm</v>
          </cell>
          <cell r="E13" t="str">
            <v>Đại học</v>
          </cell>
          <cell r="F13" t="str">
            <v>Bậc 2</v>
          </cell>
          <cell r="G13">
            <v>6420000</v>
          </cell>
          <cell r="H13" t="str">
            <v>Bậc 3</v>
          </cell>
          <cell r="I13">
            <v>800000</v>
          </cell>
          <cell r="J13">
            <v>7220000</v>
          </cell>
          <cell r="K13">
            <v>800000</v>
          </cell>
          <cell r="L13">
            <v>500000</v>
          </cell>
          <cell r="M13">
            <v>1200000</v>
          </cell>
          <cell r="N13">
            <v>1300000</v>
          </cell>
          <cell r="O13">
            <v>1000000</v>
          </cell>
          <cell r="P13" t="str">
            <v>HS Đạt 70%</v>
          </cell>
          <cell r="Q13">
            <v>900000</v>
          </cell>
          <cell r="R13">
            <v>12920000</v>
          </cell>
          <cell r="S13">
            <v>12700000</v>
          </cell>
          <cell r="T13">
            <v>5682000</v>
          </cell>
          <cell r="U13">
            <v>1538000</v>
          </cell>
        </row>
        <row r="14">
          <cell r="B14">
            <v>1008</v>
          </cell>
          <cell r="C14" t="str">
            <v>GVHS1</v>
          </cell>
          <cell r="D14" t="str">
            <v>Nguyễn Thị Băng Tâm</v>
          </cell>
          <cell r="E14" t="str">
            <v>Đại học</v>
          </cell>
          <cell r="F14" t="str">
            <v>Bậc 2</v>
          </cell>
          <cell r="G14">
            <v>6420000</v>
          </cell>
          <cell r="H14" t="str">
            <v>Bậc 2</v>
          </cell>
          <cell r="I14">
            <v>550000</v>
          </cell>
          <cell r="J14">
            <v>6970000</v>
          </cell>
          <cell r="K14">
            <v>800000</v>
          </cell>
          <cell r="L14">
            <v>500000</v>
          </cell>
          <cell r="M14">
            <v>1200000</v>
          </cell>
          <cell r="N14">
            <v>1300000</v>
          </cell>
          <cell r="O14">
            <v>1000000</v>
          </cell>
          <cell r="P14" t="str">
            <v>HS Đạt 70%</v>
          </cell>
          <cell r="Q14">
            <v>900000</v>
          </cell>
          <cell r="R14">
            <v>12670000</v>
          </cell>
          <cell r="S14">
            <v>12300000</v>
          </cell>
          <cell r="T14">
            <v>5682000</v>
          </cell>
          <cell r="U14">
            <v>1288000</v>
          </cell>
        </row>
        <row r="15">
          <cell r="B15">
            <v>1009</v>
          </cell>
          <cell r="C15" t="str">
            <v>GVHS2</v>
          </cell>
          <cell r="D15" t="str">
            <v>Nguyễn Kim Ngân</v>
          </cell>
          <cell r="E15" t="str">
            <v>Đại học</v>
          </cell>
          <cell r="F15" t="str">
            <v>Bậc 1</v>
          </cell>
          <cell r="G15">
            <v>6000000</v>
          </cell>
          <cell r="H15" t="str">
            <v>Bậc 1</v>
          </cell>
          <cell r="I15">
            <v>400000</v>
          </cell>
          <cell r="J15">
            <v>6400000</v>
          </cell>
          <cell r="K15">
            <v>800000</v>
          </cell>
          <cell r="L15">
            <v>500000</v>
          </cell>
          <cell r="M15">
            <v>1200000</v>
          </cell>
          <cell r="N15">
            <v>1000000</v>
          </cell>
          <cell r="O15">
            <v>1000000</v>
          </cell>
          <cell r="P15" t="str">
            <v>HS Đạt 80%</v>
          </cell>
          <cell r="Q15">
            <v>1400000</v>
          </cell>
          <cell r="R15">
            <v>12300000</v>
          </cell>
          <cell r="S15">
            <v>12000000</v>
          </cell>
          <cell r="T15">
            <v>5783778</v>
          </cell>
          <cell r="U15">
            <v>616222</v>
          </cell>
        </row>
        <row r="16">
          <cell r="B16">
            <v>1010</v>
          </cell>
          <cell r="C16" t="str">
            <v>GVHS2</v>
          </cell>
          <cell r="D16" t="str">
            <v>Bế Thị Ngọc Diễm</v>
          </cell>
          <cell r="E16" t="str">
            <v>Trung cấp</v>
          </cell>
          <cell r="F16" t="str">
            <v>Bậc 1</v>
          </cell>
          <cell r="G16">
            <v>6000000</v>
          </cell>
          <cell r="H16" t="str">
            <v>Bậc 1</v>
          </cell>
          <cell r="I16">
            <v>400000</v>
          </cell>
          <cell r="J16">
            <v>6400000</v>
          </cell>
          <cell r="K16">
            <v>800000</v>
          </cell>
          <cell r="L16">
            <v>500000</v>
          </cell>
          <cell r="M16">
            <v>1200000</v>
          </cell>
          <cell r="N16">
            <v>1000000</v>
          </cell>
          <cell r="O16">
            <v>1000000</v>
          </cell>
          <cell r="P16" t="str">
            <v>HS Đạt 80%</v>
          </cell>
          <cell r="Q16">
            <v>1400000</v>
          </cell>
          <cell r="R16">
            <v>12300000</v>
          </cell>
          <cell r="S16">
            <v>12000000</v>
          </cell>
          <cell r="T16">
            <v>6059196</v>
          </cell>
          <cell r="U16">
            <v>340804</v>
          </cell>
        </row>
        <row r="17">
          <cell r="B17">
            <v>1011</v>
          </cell>
          <cell r="C17" t="str">
            <v>GVHS3</v>
          </cell>
          <cell r="D17" t="str">
            <v>Lê Thị Ngọc Tuyết</v>
          </cell>
          <cell r="E17" t="str">
            <v>Đại học</v>
          </cell>
          <cell r="F17" t="str">
            <v>Bậc 1</v>
          </cell>
          <cell r="G17">
            <v>6000000</v>
          </cell>
          <cell r="H17" t="str">
            <v>Bậc 1</v>
          </cell>
          <cell r="I17">
            <v>400000</v>
          </cell>
          <cell r="J17">
            <v>6400000</v>
          </cell>
          <cell r="K17">
            <v>800000</v>
          </cell>
          <cell r="L17">
            <v>500000</v>
          </cell>
          <cell r="M17">
            <v>1200000</v>
          </cell>
          <cell r="N17">
            <v>500000</v>
          </cell>
          <cell r="O17">
            <v>1000000</v>
          </cell>
          <cell r="P17" t="str">
            <v>HS Đạt 70%</v>
          </cell>
          <cell r="Q17">
            <v>900000</v>
          </cell>
          <cell r="R17">
            <v>11300000</v>
          </cell>
          <cell r="S17">
            <v>11000000</v>
          </cell>
          <cell r="T17">
            <v>5783778</v>
          </cell>
          <cell r="U17">
            <v>616222</v>
          </cell>
        </row>
        <row r="18">
          <cell r="B18">
            <v>1012</v>
          </cell>
          <cell r="C18" t="str">
            <v>NVNV4</v>
          </cell>
          <cell r="D18" t="str">
            <v>Nguyễn Thị Mai Hương</v>
          </cell>
          <cell r="F18" t="str">
            <v>Bậc 1</v>
          </cell>
          <cell r="G18">
            <v>5700000</v>
          </cell>
          <cell r="H18" t="str">
            <v>Bậc 1</v>
          </cell>
          <cell r="I18">
            <v>100000</v>
          </cell>
          <cell r="J18">
            <v>5800000</v>
          </cell>
          <cell r="K18">
            <v>300000</v>
          </cell>
          <cell r="L18">
            <v>200000</v>
          </cell>
          <cell r="M18">
            <v>1200000</v>
          </cell>
          <cell r="N18">
            <v>200000</v>
          </cell>
          <cell r="O18">
            <v>300000</v>
          </cell>
          <cell r="P18" t="str">
            <v>HS Đạt 70%</v>
          </cell>
          <cell r="Q18">
            <v>300000</v>
          </cell>
          <cell r="R18">
            <v>8300000</v>
          </cell>
          <cell r="S18">
            <v>8111856</v>
          </cell>
          <cell r="T18">
            <v>5508360</v>
          </cell>
          <cell r="U18">
            <v>291640</v>
          </cell>
        </row>
        <row r="19">
          <cell r="B19">
            <v>1013</v>
          </cell>
          <cell r="C19" t="str">
            <v>GVST3</v>
          </cell>
          <cell r="D19" t="str">
            <v>Lê Thị Kim Nguyên</v>
          </cell>
          <cell r="E19" t="str">
            <v>Cao Đẳng</v>
          </cell>
          <cell r="F19" t="str">
            <v>Bậc 2</v>
          </cell>
          <cell r="G19">
            <v>6150000</v>
          </cell>
          <cell r="H19" t="str">
            <v>Bậc 2</v>
          </cell>
          <cell r="I19">
            <v>300000</v>
          </cell>
          <cell r="J19">
            <v>6450000</v>
          </cell>
          <cell r="K19">
            <v>500000</v>
          </cell>
          <cell r="L19">
            <v>500000</v>
          </cell>
          <cell r="M19">
            <v>1200000</v>
          </cell>
          <cell r="N19">
            <v>1000000</v>
          </cell>
          <cell r="O19">
            <v>600000</v>
          </cell>
          <cell r="P19" t="str">
            <v>Đạt 70%</v>
          </cell>
          <cell r="Q19">
            <v>400000</v>
          </cell>
          <cell r="R19">
            <v>10650000</v>
          </cell>
          <cell r="S19">
            <v>10100000</v>
          </cell>
          <cell r="T19">
            <v>5682000</v>
          </cell>
          <cell r="U19">
            <v>768000</v>
          </cell>
        </row>
        <row r="20">
          <cell r="B20">
            <v>1014</v>
          </cell>
          <cell r="C20" t="str">
            <v>GVST1</v>
          </cell>
          <cell r="D20" t="str">
            <v>Trần Thái Thiên Thảo</v>
          </cell>
          <cell r="E20" t="str">
            <v>Đại học</v>
          </cell>
          <cell r="F20" t="str">
            <v>Bậc 1</v>
          </cell>
          <cell r="G20">
            <v>5950000</v>
          </cell>
          <cell r="H20" t="str">
            <v>Bậc 2</v>
          </cell>
          <cell r="I20">
            <v>350000</v>
          </cell>
          <cell r="J20">
            <v>6300000</v>
          </cell>
          <cell r="K20">
            <v>500000</v>
          </cell>
          <cell r="L20">
            <v>500000</v>
          </cell>
          <cell r="M20">
            <v>1200000</v>
          </cell>
          <cell r="N20">
            <v>1000000</v>
          </cell>
          <cell r="O20">
            <v>800000</v>
          </cell>
          <cell r="P20" t="str">
            <v>Đạt 70%</v>
          </cell>
          <cell r="Q20">
            <v>400000</v>
          </cell>
          <cell r="R20">
            <v>10700000</v>
          </cell>
          <cell r="S20">
            <v>10300000</v>
          </cell>
          <cell r="T20">
            <v>5682000</v>
          </cell>
          <cell r="U20">
            <v>618000</v>
          </cell>
        </row>
        <row r="21">
          <cell r="B21">
            <v>1015</v>
          </cell>
          <cell r="C21" t="str">
            <v>GVST3</v>
          </cell>
          <cell r="D21" t="str">
            <v>Nguyễn Thị Thu Huyền</v>
          </cell>
          <cell r="E21" t="str">
            <v>Cao Đẳng</v>
          </cell>
          <cell r="F21" t="str">
            <v>Bậc 3</v>
          </cell>
          <cell r="G21">
            <v>6460000</v>
          </cell>
          <cell r="H21" t="str">
            <v>Bậc 2</v>
          </cell>
          <cell r="I21">
            <v>300000</v>
          </cell>
          <cell r="J21">
            <v>6760000</v>
          </cell>
          <cell r="K21">
            <v>500000</v>
          </cell>
          <cell r="L21">
            <v>500000</v>
          </cell>
          <cell r="M21">
            <v>1200000</v>
          </cell>
          <cell r="N21">
            <v>1000000</v>
          </cell>
          <cell r="O21">
            <v>600000</v>
          </cell>
          <cell r="P21" t="str">
            <v>Không đạt</v>
          </cell>
          <cell r="Q21">
            <v>0</v>
          </cell>
          <cell r="R21">
            <v>10560000</v>
          </cell>
          <cell r="S21">
            <v>10500000</v>
          </cell>
          <cell r="T21">
            <v>5682000</v>
          </cell>
          <cell r="U21">
            <v>1078000</v>
          </cell>
        </row>
        <row r="22">
          <cell r="B22">
            <v>1016</v>
          </cell>
          <cell r="C22" t="str">
            <v>GVST1</v>
          </cell>
          <cell r="D22" t="str">
            <v>Vương Thanh Hà Trang</v>
          </cell>
          <cell r="E22" t="str">
            <v>Đại học</v>
          </cell>
          <cell r="F22" t="str">
            <v>Bậc 3</v>
          </cell>
          <cell r="G22">
            <v>6570000</v>
          </cell>
          <cell r="H22" t="str">
            <v>Bậc 2</v>
          </cell>
          <cell r="I22">
            <v>350000</v>
          </cell>
          <cell r="J22">
            <v>6920000</v>
          </cell>
          <cell r="K22">
            <v>500000</v>
          </cell>
          <cell r="L22">
            <v>500000</v>
          </cell>
          <cell r="M22">
            <v>1200000</v>
          </cell>
          <cell r="N22">
            <v>1000000</v>
          </cell>
          <cell r="O22">
            <v>800000</v>
          </cell>
          <cell r="P22" t="str">
            <v>Không đạt</v>
          </cell>
          <cell r="Q22">
            <v>0</v>
          </cell>
          <cell r="R22">
            <v>10920000</v>
          </cell>
          <cell r="S22">
            <v>10900000</v>
          </cell>
          <cell r="T22">
            <v>6059196</v>
          </cell>
          <cell r="U22">
            <v>860804</v>
          </cell>
        </row>
        <row r="23">
          <cell r="B23">
            <v>1017</v>
          </cell>
          <cell r="C23" t="str">
            <v>GVST7</v>
          </cell>
          <cell r="D23" t="str">
            <v>Trần Thị Thanh Trúc</v>
          </cell>
          <cell r="E23" t="str">
            <v>Đại học</v>
          </cell>
          <cell r="F23" t="str">
            <v>Bậc 1</v>
          </cell>
          <cell r="G23">
            <v>5950000</v>
          </cell>
          <cell r="H23" t="str">
            <v>Bậc 1</v>
          </cell>
          <cell r="I23">
            <v>250000</v>
          </cell>
          <cell r="J23">
            <v>6200000</v>
          </cell>
          <cell r="K23">
            <v>500000</v>
          </cell>
          <cell r="L23">
            <v>500000</v>
          </cell>
          <cell r="M23">
            <v>1200000</v>
          </cell>
          <cell r="N23">
            <v>700000</v>
          </cell>
          <cell r="O23">
            <v>700000</v>
          </cell>
          <cell r="P23" t="str">
            <v>130 trẻ</v>
          </cell>
          <cell r="Q23">
            <v>400000</v>
          </cell>
          <cell r="R23">
            <v>10200000</v>
          </cell>
          <cell r="S23">
            <v>11520000</v>
          </cell>
          <cell r="T23">
            <v>5682000</v>
          </cell>
          <cell r="U23">
            <v>518000</v>
          </cell>
        </row>
        <row r="24">
          <cell r="B24">
            <v>1018</v>
          </cell>
          <cell r="C24" t="str">
            <v>GVST3</v>
          </cell>
          <cell r="D24" t="str">
            <v>Phạm Huỳnh Anh Thư</v>
          </cell>
          <cell r="E24" t="str">
            <v>Cao Đẳng</v>
          </cell>
          <cell r="F24" t="str">
            <v>Bậc 3</v>
          </cell>
          <cell r="G24">
            <v>6460000</v>
          </cell>
          <cell r="H24" t="str">
            <v>Bậc 2</v>
          </cell>
          <cell r="I24">
            <v>300000</v>
          </cell>
          <cell r="J24">
            <v>6760000</v>
          </cell>
          <cell r="K24">
            <v>500000</v>
          </cell>
          <cell r="L24">
            <v>500000</v>
          </cell>
          <cell r="M24">
            <v>1200000</v>
          </cell>
          <cell r="N24">
            <v>1000000</v>
          </cell>
          <cell r="O24">
            <v>600000</v>
          </cell>
          <cell r="P24" t="str">
            <v>Đạt 80%</v>
          </cell>
          <cell r="Q24">
            <v>550000</v>
          </cell>
          <cell r="R24">
            <v>11110000</v>
          </cell>
          <cell r="S24">
            <v>10900000</v>
          </cell>
          <cell r="T24">
            <v>5682000</v>
          </cell>
          <cell r="U24">
            <v>1078000</v>
          </cell>
        </row>
        <row r="25">
          <cell r="B25">
            <v>1019</v>
          </cell>
          <cell r="C25" t="str">
            <v>GVST2</v>
          </cell>
          <cell r="D25" t="str">
            <v>Thạch Thảo</v>
          </cell>
          <cell r="E25" t="str">
            <v>Đại học</v>
          </cell>
          <cell r="F25" t="str">
            <v>Bậc 1</v>
          </cell>
          <cell r="G25">
            <v>5950000</v>
          </cell>
          <cell r="H25" t="str">
            <v>Bậc 2</v>
          </cell>
          <cell r="I25">
            <v>350000</v>
          </cell>
          <cell r="J25">
            <v>6300000</v>
          </cell>
          <cell r="K25">
            <v>500000</v>
          </cell>
          <cell r="L25">
            <v>500000</v>
          </cell>
          <cell r="M25">
            <v>1200000</v>
          </cell>
          <cell r="N25">
            <v>600000</v>
          </cell>
          <cell r="O25">
            <v>700000</v>
          </cell>
          <cell r="P25" t="str">
            <v>Đạt 80%</v>
          </cell>
          <cell r="Q25">
            <v>550000</v>
          </cell>
          <cell r="R25">
            <v>10350000</v>
          </cell>
          <cell r="S25">
            <v>9600000</v>
          </cell>
          <cell r="T25">
            <v>5682000</v>
          </cell>
          <cell r="U25">
            <v>618000</v>
          </cell>
        </row>
        <row r="26">
          <cell r="B26">
            <v>1020</v>
          </cell>
          <cell r="C26" t="str">
            <v>GVST3</v>
          </cell>
          <cell r="D26" t="str">
            <v>Nguyễn Thị Hồng Thi</v>
          </cell>
          <cell r="E26" t="str">
            <v>Cao Đẳng</v>
          </cell>
          <cell r="F26" t="str">
            <v>Bậc 2</v>
          </cell>
          <cell r="G26">
            <v>6150000</v>
          </cell>
          <cell r="H26" t="str">
            <v>Bậc 1</v>
          </cell>
          <cell r="I26">
            <v>200000</v>
          </cell>
          <cell r="J26">
            <v>6350000</v>
          </cell>
          <cell r="K26">
            <v>500000</v>
          </cell>
          <cell r="L26">
            <v>500000</v>
          </cell>
          <cell r="M26">
            <v>1200000</v>
          </cell>
          <cell r="N26">
            <v>1000000</v>
          </cell>
          <cell r="O26">
            <v>600000</v>
          </cell>
          <cell r="P26" t="str">
            <v>Đạt 70%</v>
          </cell>
          <cell r="Q26">
            <v>400000</v>
          </cell>
          <cell r="R26">
            <v>10550000</v>
          </cell>
          <cell r="S26">
            <v>10300000</v>
          </cell>
          <cell r="T26">
            <v>5682000</v>
          </cell>
          <cell r="U26">
            <v>668000</v>
          </cell>
        </row>
        <row r="27">
          <cell r="B27">
            <v>1021</v>
          </cell>
          <cell r="C27" t="str">
            <v>NVNV4</v>
          </cell>
          <cell r="D27" t="str">
            <v>Võ Lê Thị Huyền Trang</v>
          </cell>
          <cell r="F27" t="str">
            <v>Bậc 1</v>
          </cell>
          <cell r="G27">
            <v>5700000</v>
          </cell>
          <cell r="H27" t="str">
            <v>Bậc 1</v>
          </cell>
          <cell r="I27">
            <v>100000</v>
          </cell>
          <cell r="J27">
            <v>5800000</v>
          </cell>
          <cell r="K27">
            <v>300000</v>
          </cell>
          <cell r="L27">
            <v>200000</v>
          </cell>
          <cell r="M27">
            <v>1200000</v>
          </cell>
          <cell r="N27">
            <v>200000</v>
          </cell>
          <cell r="O27">
            <v>300000</v>
          </cell>
          <cell r="P27" t="str">
            <v>Đạt 70%</v>
          </cell>
          <cell r="Q27">
            <v>200000</v>
          </cell>
          <cell r="R27">
            <v>8200000</v>
          </cell>
          <cell r="S27">
            <v>7700000</v>
          </cell>
          <cell r="T27">
            <v>5508360</v>
          </cell>
          <cell r="U27">
            <v>291640</v>
          </cell>
        </row>
        <row r="28">
          <cell r="B28">
            <v>1022</v>
          </cell>
          <cell r="C28" t="str">
            <v>NVNV4</v>
          </cell>
          <cell r="D28" t="str">
            <v>Danh Thị Thùy Trang</v>
          </cell>
          <cell r="F28" t="str">
            <v>Bậc 1</v>
          </cell>
          <cell r="G28">
            <v>5700000</v>
          </cell>
          <cell r="H28" t="str">
            <v>Bậc 1</v>
          </cell>
          <cell r="I28">
            <v>100000</v>
          </cell>
          <cell r="J28">
            <v>5800000</v>
          </cell>
          <cell r="K28">
            <v>300000</v>
          </cell>
          <cell r="L28">
            <v>200000</v>
          </cell>
          <cell r="M28">
            <v>1200000</v>
          </cell>
          <cell r="N28">
            <v>200000</v>
          </cell>
          <cell r="O28">
            <v>300000</v>
          </cell>
          <cell r="P28" t="str">
            <v>Đạt 80%</v>
          </cell>
          <cell r="Q28">
            <v>300000</v>
          </cell>
          <cell r="R28">
            <v>8300000</v>
          </cell>
          <cell r="S28">
            <v>7800000</v>
          </cell>
          <cell r="T28">
            <v>5310000</v>
          </cell>
          <cell r="U28">
            <v>490000</v>
          </cell>
        </row>
        <row r="29">
          <cell r="B29">
            <v>1023</v>
          </cell>
          <cell r="C29" t="str">
            <v>BC</v>
          </cell>
          <cell r="D29" t="str">
            <v>Lê Thị Trường An</v>
          </cell>
          <cell r="F29" t="str">
            <v>Bậc 1</v>
          </cell>
          <cell r="G29">
            <v>5850000</v>
          </cell>
          <cell r="H29" t="str">
            <v>Bậc 1</v>
          </cell>
          <cell r="I29">
            <v>300000</v>
          </cell>
          <cell r="J29">
            <v>6150000</v>
          </cell>
          <cell r="K29">
            <v>800000</v>
          </cell>
          <cell r="L29">
            <v>400000</v>
          </cell>
          <cell r="M29">
            <v>1200000</v>
          </cell>
          <cell r="N29">
            <v>600000</v>
          </cell>
          <cell r="O29">
            <v>500000</v>
          </cell>
          <cell r="P29" t="str">
            <v>180 trẻ</v>
          </cell>
          <cell r="Q29">
            <v>1000000</v>
          </cell>
          <cell r="R29">
            <v>10650000</v>
          </cell>
          <cell r="S29">
            <v>9815015</v>
          </cell>
          <cell r="T29">
            <v>6059196</v>
          </cell>
          <cell r="U29">
            <v>90804</v>
          </cell>
        </row>
        <row r="30">
          <cell r="B30">
            <v>1024</v>
          </cell>
          <cell r="C30" t="str">
            <v>TNHT</v>
          </cell>
          <cell r="D30" t="str">
            <v>Hoàng Đình Chinh</v>
          </cell>
          <cell r="F30" t="str">
            <v>Bậc 2</v>
          </cell>
          <cell r="G30">
            <v>6040000</v>
          </cell>
          <cell r="H30" t="str">
            <v>Bậc 1</v>
          </cell>
          <cell r="I30">
            <v>250000</v>
          </cell>
          <cell r="J30">
            <v>6290000</v>
          </cell>
          <cell r="K30">
            <v>400000</v>
          </cell>
          <cell r="L30">
            <v>300000</v>
          </cell>
          <cell r="M30">
            <v>1200000</v>
          </cell>
          <cell r="N30">
            <v>300000</v>
          </cell>
          <cell r="O30">
            <v>400000</v>
          </cell>
          <cell r="P30" t="str">
            <v>130 trẻ</v>
          </cell>
          <cell r="Q30">
            <v>0</v>
          </cell>
          <cell r="R30">
            <v>8890000</v>
          </cell>
          <cell r="S30">
            <v>8647500</v>
          </cell>
          <cell r="T30">
            <v>5682000</v>
          </cell>
          <cell r="U30">
            <v>608000</v>
          </cell>
        </row>
        <row r="31">
          <cell r="B31">
            <v>1025</v>
          </cell>
          <cell r="C31" t="str">
            <v>NVHT</v>
          </cell>
          <cell r="D31" t="str">
            <v>Võ Thị Quít</v>
          </cell>
          <cell r="F31" t="str">
            <v>Bậc 1</v>
          </cell>
          <cell r="G31">
            <v>5320000</v>
          </cell>
          <cell r="H31" t="str">
            <v>Bậc 1</v>
          </cell>
          <cell r="I31">
            <v>100000</v>
          </cell>
          <cell r="J31">
            <v>5420000</v>
          </cell>
          <cell r="K31">
            <v>300000</v>
          </cell>
          <cell r="L31">
            <v>200000</v>
          </cell>
          <cell r="M31">
            <v>1200000</v>
          </cell>
          <cell r="N31">
            <v>200000</v>
          </cell>
          <cell r="O31">
            <v>300000</v>
          </cell>
          <cell r="P31" t="str">
            <v>180 trẻ</v>
          </cell>
          <cell r="Q31">
            <v>450000</v>
          </cell>
          <cell r="R31">
            <v>8070000</v>
          </cell>
          <cell r="S31">
            <v>7400000</v>
          </cell>
          <cell r="T31">
            <v>5310000</v>
          </cell>
          <cell r="U31">
            <v>110000</v>
          </cell>
        </row>
        <row r="32">
          <cell r="B32">
            <v>1026</v>
          </cell>
          <cell r="C32" t="str">
            <v>TNHT</v>
          </cell>
          <cell r="D32" t="str">
            <v>Nguyễn Thị Kiều Trinh (Bếp phó)</v>
          </cell>
          <cell r="F32" t="str">
            <v>Bậc 1</v>
          </cell>
          <cell r="G32">
            <v>5750000</v>
          </cell>
          <cell r="H32" t="str">
            <v>Bậc 1</v>
          </cell>
          <cell r="I32">
            <v>250000</v>
          </cell>
          <cell r="J32">
            <v>6000000</v>
          </cell>
          <cell r="K32">
            <v>400000</v>
          </cell>
          <cell r="L32">
            <v>300000</v>
          </cell>
          <cell r="M32">
            <v>1200000</v>
          </cell>
          <cell r="N32">
            <v>200000</v>
          </cell>
          <cell r="O32">
            <v>400000</v>
          </cell>
          <cell r="P32" t="str">
            <v>180 trẻ</v>
          </cell>
          <cell r="Q32">
            <v>700000</v>
          </cell>
          <cell r="R32">
            <v>9200000</v>
          </cell>
          <cell r="S32">
            <v>8000000</v>
          </cell>
          <cell r="T32">
            <v>5310000</v>
          </cell>
          <cell r="U32">
            <v>690000</v>
          </cell>
        </row>
        <row r="33">
          <cell r="B33">
            <v>1027</v>
          </cell>
          <cell r="C33" t="str">
            <v>GVST5</v>
          </cell>
          <cell r="D33" t="str">
            <v>Nguyễn Thị Thuỳ Trang (thử việc)</v>
          </cell>
          <cell r="E33" t="str">
            <v>Đại học</v>
          </cell>
          <cell r="F33" t="str">
            <v>Bậc 1</v>
          </cell>
          <cell r="G33">
            <v>5850000</v>
          </cell>
          <cell r="H33" t="str">
            <v>Bậc 1</v>
          </cell>
          <cell r="I33">
            <v>200000</v>
          </cell>
          <cell r="J33">
            <v>6050000</v>
          </cell>
          <cell r="K33">
            <v>500000</v>
          </cell>
          <cell r="L33">
            <v>500000</v>
          </cell>
          <cell r="M33">
            <v>1200000</v>
          </cell>
          <cell r="N33" t="str">
            <v>NV mới chưa Nhà ở</v>
          </cell>
          <cell r="O33">
            <v>500000</v>
          </cell>
          <cell r="P33" t="str">
            <v>HS Đạt 70%</v>
          </cell>
          <cell r="Q33">
            <v>400000</v>
          </cell>
          <cell r="R33">
            <v>9150000</v>
          </cell>
          <cell r="S33">
            <v>8500000</v>
          </cell>
          <cell r="T33">
            <v>5783778</v>
          </cell>
          <cell r="U33">
            <v>266222</v>
          </cell>
        </row>
        <row r="34">
          <cell r="B34">
            <v>1028</v>
          </cell>
          <cell r="C34" t="str">
            <v>GVST5</v>
          </cell>
          <cell r="D34" t="str">
            <v>Hà Thị Kim Ngân (thử việc)</v>
          </cell>
          <cell r="E34" t="str">
            <v>Đại học</v>
          </cell>
          <cell r="F34" t="str">
            <v>Bậc 1</v>
          </cell>
          <cell r="G34">
            <v>5850000</v>
          </cell>
          <cell r="H34" t="str">
            <v>Bậc 1</v>
          </cell>
          <cell r="I34">
            <v>200000</v>
          </cell>
          <cell r="J34">
            <v>6050000</v>
          </cell>
          <cell r="K34">
            <v>500000</v>
          </cell>
          <cell r="L34">
            <v>500000</v>
          </cell>
          <cell r="M34">
            <v>1200000</v>
          </cell>
          <cell r="N34" t="str">
            <v>NV mới chưa Nhà ở</v>
          </cell>
          <cell r="O34">
            <v>500000</v>
          </cell>
          <cell r="P34" t="str">
            <v>Không đạt</v>
          </cell>
          <cell r="Q34">
            <v>0</v>
          </cell>
          <cell r="R34">
            <v>8750000</v>
          </cell>
          <cell r="S34">
            <v>8500000</v>
          </cell>
          <cell r="T34">
            <v>5682000</v>
          </cell>
          <cell r="U34">
            <v>368000</v>
          </cell>
        </row>
        <row r="35">
          <cell r="B35">
            <v>1029</v>
          </cell>
          <cell r="C35" t="str">
            <v>NVNV3</v>
          </cell>
          <cell r="D35" t="str">
            <v>Nguyễn Thị Lệ Dung (Y tế)</v>
          </cell>
          <cell r="E35" t="str">
            <v>Trung cấp</v>
          </cell>
          <cell r="F35" t="str">
            <v>Bậc 1</v>
          </cell>
          <cell r="G35">
            <v>5750000</v>
          </cell>
          <cell r="H35" t="str">
            <v>Bậc 1</v>
          </cell>
          <cell r="I35">
            <v>150000</v>
          </cell>
          <cell r="J35">
            <v>5900000</v>
          </cell>
          <cell r="K35">
            <v>400000</v>
          </cell>
          <cell r="L35">
            <v>300000</v>
          </cell>
          <cell r="M35">
            <v>1200000</v>
          </cell>
          <cell r="N35" t="str">
            <v>NV mới chưa Nhà ở</v>
          </cell>
          <cell r="O35">
            <v>400000</v>
          </cell>
          <cell r="P35" t="str">
            <v>130 trẻ</v>
          </cell>
          <cell r="Q35">
            <v>200000</v>
          </cell>
          <cell r="R35">
            <v>8400000</v>
          </cell>
          <cell r="S35">
            <v>7800000</v>
          </cell>
          <cell r="T35">
            <v>5682000</v>
          </cell>
          <cell r="U35">
            <v>218000</v>
          </cell>
        </row>
        <row r="36">
          <cell r="B36">
            <v>1030</v>
          </cell>
          <cell r="C36" t="str">
            <v>NVNV3</v>
          </cell>
          <cell r="D36" t="str">
            <v>Nguyễn Bùi Tường Vy (Thử việc)</v>
          </cell>
          <cell r="E36" t="str">
            <v>ĐH Trái ngành</v>
          </cell>
          <cell r="F36" t="str">
            <v>Bậc 1</v>
          </cell>
          <cell r="G36">
            <v>5750000</v>
          </cell>
          <cell r="H36" t="str">
            <v>Bậc 1</v>
          </cell>
          <cell r="I36">
            <v>150000</v>
          </cell>
          <cell r="J36">
            <v>5900000</v>
          </cell>
          <cell r="K36">
            <v>400000</v>
          </cell>
          <cell r="L36">
            <v>300000</v>
          </cell>
          <cell r="M36">
            <v>1200000</v>
          </cell>
          <cell r="N36" t="str">
            <v>NV mới chưa Nhà ở</v>
          </cell>
          <cell r="O36">
            <v>400000</v>
          </cell>
          <cell r="P36" t="str">
            <v>Đạt 70%</v>
          </cell>
          <cell r="Q36">
            <v>200000</v>
          </cell>
          <cell r="R36">
            <v>8400000</v>
          </cell>
          <cell r="S36">
            <v>7500000</v>
          </cell>
          <cell r="T36">
            <v>5682000</v>
          </cell>
          <cell r="U36">
            <v>218000</v>
          </cell>
        </row>
        <row r="37">
          <cell r="B37">
            <v>4001</v>
          </cell>
          <cell r="C37" t="str">
            <v>NVHT</v>
          </cell>
          <cell r="D37" t="str">
            <v>Huỳnh Thị Vân Trang</v>
          </cell>
          <cell r="F37" t="str">
            <v>Bậc 1</v>
          </cell>
          <cell r="G37">
            <v>5320000</v>
          </cell>
          <cell r="H37" t="str">
            <v>Bậc 2</v>
          </cell>
          <cell r="I37">
            <v>200000</v>
          </cell>
          <cell r="J37">
            <v>5520000</v>
          </cell>
          <cell r="K37">
            <v>300000</v>
          </cell>
          <cell r="L37">
            <v>200000</v>
          </cell>
          <cell r="M37">
            <v>1200000</v>
          </cell>
          <cell r="N37">
            <v>200000</v>
          </cell>
          <cell r="O37">
            <v>300000</v>
          </cell>
          <cell r="P37" t="str">
            <v>130 trẻ</v>
          </cell>
          <cell r="Q37">
            <v>0</v>
          </cell>
          <cell r="R37">
            <v>7720000</v>
          </cell>
          <cell r="S37">
            <v>7500000</v>
          </cell>
          <cell r="T37">
            <v>5310000</v>
          </cell>
          <cell r="U37">
            <v>210000</v>
          </cell>
        </row>
        <row r="38">
          <cell r="B38">
            <v>4002</v>
          </cell>
          <cell r="C38" t="str">
            <v>NVHT</v>
          </cell>
          <cell r="D38" t="str">
            <v>Ngô Thị Ánh Tuyết</v>
          </cell>
          <cell r="F38" t="str">
            <v>Bậc 1</v>
          </cell>
          <cell r="G38">
            <v>5320000</v>
          </cell>
          <cell r="H38" t="str">
            <v>Bậc 2</v>
          </cell>
          <cell r="I38">
            <v>200000</v>
          </cell>
          <cell r="J38">
            <v>5520000</v>
          </cell>
          <cell r="K38">
            <v>300000</v>
          </cell>
          <cell r="L38">
            <v>200000</v>
          </cell>
          <cell r="M38">
            <v>1200000</v>
          </cell>
          <cell r="N38">
            <v>200000</v>
          </cell>
          <cell r="O38">
            <v>300000</v>
          </cell>
          <cell r="P38" t="str">
            <v>130 trẻ</v>
          </cell>
          <cell r="Q38">
            <v>0</v>
          </cell>
          <cell r="R38">
            <v>7720000</v>
          </cell>
          <cell r="S38">
            <v>7500000</v>
          </cell>
          <cell r="T38">
            <v>5310000</v>
          </cell>
          <cell r="U38">
            <v>210000</v>
          </cell>
        </row>
        <row r="40">
          <cell r="D40" t="str">
            <v>TỔNG CỘNG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7C7-6438-473A-A4C8-403A51BFD34C}">
  <dimension ref="A1:AM58"/>
  <sheetViews>
    <sheetView tabSelected="1" workbookViewId="0">
      <selection activeCell="H9" sqref="H9"/>
    </sheetView>
  </sheetViews>
  <sheetFormatPr defaultColWidth="10.77734375" defaultRowHeight="14.4" x14ac:dyDescent="0.3"/>
  <cols>
    <col min="1" max="1" width="7.6640625" customWidth="1"/>
    <col min="2" max="2" width="26" customWidth="1"/>
    <col min="3" max="3" width="30.21875" customWidth="1"/>
    <col min="4" max="4" width="12.77734375" customWidth="1"/>
    <col min="5" max="35" width="5.33203125" style="1" customWidth="1"/>
    <col min="36" max="36" width="14.6640625" customWidth="1"/>
    <col min="37" max="37" width="10.44140625" style="1" customWidth="1"/>
    <col min="38" max="38" width="13.109375" customWidth="1"/>
    <col min="39" max="39" width="16.21875" customWidth="1"/>
  </cols>
  <sheetData>
    <row r="1" spans="1:39" ht="33.6" customHeight="1" x14ac:dyDescent="0.5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3" spans="1:39" ht="15.6" customHeight="1" x14ac:dyDescent="0.3">
      <c r="A3" s="3" t="s">
        <v>52</v>
      </c>
      <c r="B3" s="4" t="s">
        <v>0</v>
      </c>
      <c r="C3" s="4" t="s">
        <v>51</v>
      </c>
      <c r="D3" s="25" t="s">
        <v>88</v>
      </c>
      <c r="E3" s="18" t="s">
        <v>86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20"/>
      <c r="AJ3" s="24" t="s">
        <v>87</v>
      </c>
      <c r="AK3" s="17" t="s">
        <v>54</v>
      </c>
      <c r="AL3" s="21" t="s">
        <v>1</v>
      </c>
      <c r="AM3" s="22" t="s">
        <v>2</v>
      </c>
    </row>
    <row r="4" spans="1:39" x14ac:dyDescent="0.3">
      <c r="A4" s="3"/>
      <c r="B4" s="3"/>
      <c r="C4" s="3"/>
      <c r="D4" s="3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  <c r="O4" s="5">
        <v>11</v>
      </c>
      <c r="P4" s="5">
        <v>12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18</v>
      </c>
      <c r="W4" s="5">
        <v>19</v>
      </c>
      <c r="X4" s="5">
        <v>20</v>
      </c>
      <c r="Y4" s="5">
        <v>21</v>
      </c>
      <c r="Z4" s="5">
        <v>22</v>
      </c>
      <c r="AA4" s="5">
        <v>23</v>
      </c>
      <c r="AB4" s="5">
        <v>24</v>
      </c>
      <c r="AC4" s="5">
        <v>25</v>
      </c>
      <c r="AD4" s="5">
        <v>26</v>
      </c>
      <c r="AE4" s="5">
        <v>27</v>
      </c>
      <c r="AF4" s="5">
        <v>28</v>
      </c>
      <c r="AG4" s="5">
        <v>29</v>
      </c>
      <c r="AH4" s="5">
        <v>30</v>
      </c>
      <c r="AI4" s="5">
        <v>31</v>
      </c>
      <c r="AJ4" s="6"/>
      <c r="AK4" s="5"/>
      <c r="AL4" s="6"/>
      <c r="AM4" s="6"/>
    </row>
    <row r="5" spans="1:39" ht="15.6" x14ac:dyDescent="0.3">
      <c r="A5" s="9">
        <v>1001</v>
      </c>
      <c r="B5" s="12" t="str">
        <f>VLOOKUP(A5,'[1]Bảng lương LC'!$B$7:$U$39,3,0)</f>
        <v>Châu Nguyễn Kim Yến</v>
      </c>
      <c r="C5" s="15" t="s">
        <v>3</v>
      </c>
      <c r="D5" s="27">
        <v>100</v>
      </c>
      <c r="E5" s="23">
        <v>0</v>
      </c>
      <c r="F5" s="23">
        <v>1</v>
      </c>
      <c r="G5" s="23">
        <v>2</v>
      </c>
      <c r="H5" s="23"/>
      <c r="I5" s="23">
        <v>-10</v>
      </c>
      <c r="J5" s="23">
        <v>-2</v>
      </c>
      <c r="K5" s="23">
        <v>1</v>
      </c>
      <c r="L5" s="23"/>
      <c r="M5" s="23">
        <v>-4</v>
      </c>
      <c r="N5" s="23"/>
      <c r="O5" s="23"/>
      <c r="P5" s="23"/>
      <c r="Q5" s="23"/>
      <c r="R5" s="23">
        <v>5</v>
      </c>
      <c r="S5" s="23"/>
      <c r="T5" s="23"/>
      <c r="U5" s="23"/>
      <c r="V5" s="23"/>
      <c r="W5" s="23">
        <v>-2</v>
      </c>
      <c r="X5" s="23"/>
      <c r="Y5" s="23"/>
      <c r="Z5" s="23"/>
      <c r="AA5" s="23">
        <v>5</v>
      </c>
      <c r="AB5" s="23"/>
      <c r="AC5" s="23"/>
      <c r="AD5" s="23"/>
      <c r="AE5" s="23"/>
      <c r="AF5" s="23"/>
      <c r="AG5" s="23"/>
      <c r="AH5" s="23"/>
      <c r="AI5" s="23"/>
      <c r="AJ5" s="28">
        <f>SUM(E5:AI5)+D5</f>
        <v>96</v>
      </c>
      <c r="AK5" s="16">
        <v>0.4</v>
      </c>
      <c r="AL5" s="29">
        <f>AJ5*AK5+AJ6*AK6+AJ7*AK7</f>
        <v>93.600000000000009</v>
      </c>
      <c r="AM5" s="32">
        <f>IF(AL5&gt;100,105%,IF(AL5&gt;=95,100%,IF(AL5&gt;=90,90%,IF(AL5&gt;=80,70%,IF(AL5&gt;=70,50%,0%)))))</f>
        <v>0.9</v>
      </c>
    </row>
    <row r="6" spans="1:39" ht="15.6" x14ac:dyDescent="0.3">
      <c r="A6" s="10"/>
      <c r="B6" s="13"/>
      <c r="C6" s="15" t="s">
        <v>53</v>
      </c>
      <c r="D6" s="27">
        <v>100</v>
      </c>
      <c r="E6" s="23"/>
      <c r="F6" s="23"/>
      <c r="G6" s="23"/>
      <c r="H6" s="23">
        <v>-1</v>
      </c>
      <c r="I6" s="23"/>
      <c r="J6" s="23"/>
      <c r="K6" s="23"/>
      <c r="L6" s="23"/>
      <c r="M6" s="23"/>
      <c r="N6" s="23">
        <v>1</v>
      </c>
      <c r="O6" s="23"/>
      <c r="P6" s="23"/>
      <c r="Q6" s="23"/>
      <c r="R6" s="23"/>
      <c r="S6" s="23"/>
      <c r="T6" s="23"/>
      <c r="U6" s="23">
        <v>3</v>
      </c>
      <c r="V6" s="23"/>
      <c r="W6" s="23"/>
      <c r="X6" s="23"/>
      <c r="Y6" s="23"/>
      <c r="Z6" s="23"/>
      <c r="AA6" s="23"/>
      <c r="AB6" s="23"/>
      <c r="AC6" s="23"/>
      <c r="AD6" s="23">
        <v>-10</v>
      </c>
      <c r="AE6" s="23"/>
      <c r="AF6" s="23"/>
      <c r="AG6" s="23"/>
      <c r="AH6" s="23"/>
      <c r="AI6" s="23"/>
      <c r="AJ6" s="28">
        <f t="shared" ref="AJ6:AJ13" si="0">SUM(E6:AI6)+D6</f>
        <v>93</v>
      </c>
      <c r="AK6" s="16">
        <v>0.3</v>
      </c>
      <c r="AL6" s="30"/>
      <c r="AM6" s="33"/>
    </row>
    <row r="7" spans="1:39" ht="15.6" x14ac:dyDescent="0.3">
      <c r="A7" s="11"/>
      <c r="B7" s="14"/>
      <c r="C7" s="15" t="s">
        <v>4</v>
      </c>
      <c r="D7" s="27">
        <v>100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>
        <v>-5</v>
      </c>
      <c r="U7" s="23"/>
      <c r="V7" s="23"/>
      <c r="W7" s="23"/>
      <c r="X7" s="23"/>
      <c r="Y7" s="23"/>
      <c r="Z7" s="23">
        <v>2</v>
      </c>
      <c r="AA7" s="23"/>
      <c r="AB7" s="23"/>
      <c r="AC7" s="23"/>
      <c r="AD7" s="23"/>
      <c r="AE7" s="23"/>
      <c r="AF7" s="23">
        <v>-6</v>
      </c>
      <c r="AG7" s="23"/>
      <c r="AH7" s="23"/>
      <c r="AI7" s="23"/>
      <c r="AJ7" s="28">
        <f t="shared" si="0"/>
        <v>91</v>
      </c>
      <c r="AK7" s="16">
        <v>0.3</v>
      </c>
      <c r="AL7" s="31"/>
      <c r="AM7" s="34"/>
    </row>
    <row r="8" spans="1:39" ht="15.6" x14ac:dyDescent="0.3">
      <c r="A8" s="9">
        <v>1002</v>
      </c>
      <c r="B8" s="12" t="s">
        <v>55</v>
      </c>
      <c r="C8" s="15" t="s">
        <v>3</v>
      </c>
      <c r="D8" s="27">
        <v>100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8">
        <f t="shared" si="0"/>
        <v>100</v>
      </c>
      <c r="AK8" s="16">
        <v>0.4</v>
      </c>
      <c r="AL8" s="29">
        <f>AJ8*AK8+AJ9*AK9+AJ10*AK10</f>
        <v>100</v>
      </c>
      <c r="AM8" s="32">
        <f t="shared" ref="AM8" si="1">IF(AL8&gt;100,105%,IF(AL8&gt;=95,100%,IF(AL8&gt;=90,90%,IF(AL8&gt;=80,70%,IF(AL8&gt;=70,50%,0%)))))</f>
        <v>1</v>
      </c>
    </row>
    <row r="9" spans="1:39" ht="15.6" x14ac:dyDescent="0.3">
      <c r="A9" s="10"/>
      <c r="B9" s="13"/>
      <c r="C9" s="15" t="s">
        <v>53</v>
      </c>
      <c r="D9" s="27">
        <v>100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8">
        <f t="shared" si="0"/>
        <v>100</v>
      </c>
      <c r="AK9" s="16">
        <v>0.3</v>
      </c>
      <c r="AL9" s="30"/>
      <c r="AM9" s="33"/>
    </row>
    <row r="10" spans="1:39" ht="15.6" x14ac:dyDescent="0.3">
      <c r="A10" s="11"/>
      <c r="B10" s="14"/>
      <c r="C10" s="15" t="s">
        <v>4</v>
      </c>
      <c r="D10" s="27">
        <v>100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8">
        <f t="shared" si="0"/>
        <v>100</v>
      </c>
      <c r="AK10" s="16">
        <v>0.3</v>
      </c>
      <c r="AL10" s="31"/>
      <c r="AM10" s="34"/>
    </row>
    <row r="11" spans="1:39" ht="15.6" x14ac:dyDescent="0.3">
      <c r="A11" s="9">
        <v>1003</v>
      </c>
      <c r="B11" s="12" t="s">
        <v>56</v>
      </c>
      <c r="C11" s="15" t="s">
        <v>3</v>
      </c>
      <c r="D11" s="27">
        <v>100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8">
        <f t="shared" si="0"/>
        <v>100</v>
      </c>
      <c r="AK11" s="16">
        <v>0.4</v>
      </c>
      <c r="AL11" s="29">
        <f>AJ11*AK11+AJ12*AK12+AJ13*AK13</f>
        <v>100</v>
      </c>
      <c r="AM11" s="32">
        <f t="shared" ref="AM11" si="2">IF(AL11&gt;100,105%,IF(AL11&gt;=95,100%,IF(AL11&gt;=90,90%,IF(AL11&gt;=80,70%,IF(AL11&gt;=70,50%,0%)))))</f>
        <v>1</v>
      </c>
    </row>
    <row r="12" spans="1:39" ht="15.6" x14ac:dyDescent="0.3">
      <c r="A12" s="10"/>
      <c r="B12" s="13"/>
      <c r="C12" s="15" t="s">
        <v>53</v>
      </c>
      <c r="D12" s="27">
        <v>100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8">
        <f t="shared" si="0"/>
        <v>100</v>
      </c>
      <c r="AK12" s="16">
        <v>0.3</v>
      </c>
      <c r="AL12" s="30"/>
      <c r="AM12" s="33"/>
    </row>
    <row r="13" spans="1:39" ht="15.6" x14ac:dyDescent="0.3">
      <c r="A13" s="11"/>
      <c r="B13" s="14"/>
      <c r="C13" s="15" t="s">
        <v>4</v>
      </c>
      <c r="D13" s="27">
        <v>100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8">
        <f t="shared" si="0"/>
        <v>100</v>
      </c>
      <c r="AK13" s="16">
        <v>0.3</v>
      </c>
      <c r="AL13" s="31"/>
      <c r="AM13" s="34"/>
    </row>
    <row r="14" spans="1:39" ht="15.6" x14ac:dyDescent="0.3">
      <c r="A14" s="3"/>
      <c r="B14" s="3"/>
      <c r="C14" s="3"/>
      <c r="D14" s="26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3"/>
      <c r="AK14" s="7"/>
      <c r="AL14" s="3"/>
      <c r="AM14" s="3"/>
    </row>
    <row r="15" spans="1:39" ht="15.6" x14ac:dyDescent="0.3">
      <c r="A15" s="3"/>
      <c r="B15" s="3" t="str">
        <f>'[1]Bảng lương LC'!D40</f>
        <v>TỔNG CỘNG</v>
      </c>
      <c r="C15" s="3"/>
      <c r="D15" s="26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3"/>
      <c r="AK15" s="7"/>
      <c r="AL15" s="3"/>
      <c r="AM15" s="3"/>
    </row>
    <row r="18" spans="2:39" x14ac:dyDescent="0.3">
      <c r="B18" s="35" t="s">
        <v>5</v>
      </c>
      <c r="AJ18" s="8"/>
      <c r="AL18" s="8"/>
    </row>
    <row r="19" spans="2:39" x14ac:dyDescent="0.3">
      <c r="B19" t="s">
        <v>6</v>
      </c>
      <c r="AJ19" s="8"/>
      <c r="AL19" s="8"/>
    </row>
    <row r="20" spans="2:39" x14ac:dyDescent="0.3">
      <c r="B20" s="37" t="s">
        <v>7</v>
      </c>
      <c r="C20" s="8" t="s">
        <v>8</v>
      </c>
      <c r="AJ20" s="8"/>
    </row>
    <row r="21" spans="2:39" x14ac:dyDescent="0.3">
      <c r="B21" s="37" t="s">
        <v>9</v>
      </c>
      <c r="C21" s="8" t="s">
        <v>10</v>
      </c>
      <c r="AJ21" s="8"/>
    </row>
    <row r="22" spans="2:39" x14ac:dyDescent="0.3">
      <c r="B22" s="37" t="s">
        <v>11</v>
      </c>
      <c r="C22" t="s">
        <v>12</v>
      </c>
      <c r="AJ22" s="8"/>
    </row>
    <row r="23" spans="2:39" x14ac:dyDescent="0.3">
      <c r="B23" s="37" t="s">
        <v>13</v>
      </c>
      <c r="C23" t="s">
        <v>14</v>
      </c>
      <c r="AJ23" s="8"/>
    </row>
    <row r="24" spans="2:39" x14ac:dyDescent="0.3">
      <c r="B24" s="37" t="s">
        <v>13</v>
      </c>
      <c r="C24" t="s">
        <v>15</v>
      </c>
      <c r="AJ24" s="8"/>
    </row>
    <row r="25" spans="2:39" x14ac:dyDescent="0.3">
      <c r="B25" s="37" t="s">
        <v>16</v>
      </c>
      <c r="C25" t="s">
        <v>17</v>
      </c>
      <c r="AJ25" s="8"/>
    </row>
    <row r="26" spans="2:39" x14ac:dyDescent="0.3">
      <c r="B26" s="37" t="s">
        <v>18</v>
      </c>
      <c r="C26" t="s">
        <v>19</v>
      </c>
    </row>
    <row r="27" spans="2:39" x14ac:dyDescent="0.3">
      <c r="B27" s="37" t="s">
        <v>20</v>
      </c>
      <c r="C27" t="s">
        <v>21</v>
      </c>
      <c r="AJ27" s="8"/>
    </row>
    <row r="28" spans="2:39" x14ac:dyDescent="0.3">
      <c r="B28" s="35" t="s">
        <v>22</v>
      </c>
      <c r="AJ28" s="8"/>
    </row>
    <row r="29" spans="2:39" x14ac:dyDescent="0.3">
      <c r="B29" s="8" t="s">
        <v>13</v>
      </c>
      <c r="C29" t="s">
        <v>23</v>
      </c>
      <c r="AJ29" s="8"/>
    </row>
    <row r="30" spans="2:39" s="2" customFormat="1" x14ac:dyDescent="0.3">
      <c r="B30" s="8" t="s">
        <v>9</v>
      </c>
      <c r="C30" t="s">
        <v>24</v>
      </c>
      <c r="D3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8"/>
      <c r="AK30" s="1"/>
      <c r="AL30"/>
      <c r="AM30"/>
    </row>
    <row r="31" spans="2:39" s="2" customFormat="1" x14ac:dyDescent="0.3">
      <c r="B31" s="8" t="s">
        <v>13</v>
      </c>
      <c r="C31" t="s">
        <v>25</v>
      </c>
      <c r="D3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8"/>
      <c r="AK31" s="1"/>
      <c r="AL31"/>
      <c r="AM31"/>
    </row>
    <row r="32" spans="2:39" x14ac:dyDescent="0.3">
      <c r="B32" s="8" t="s">
        <v>13</v>
      </c>
      <c r="C32" t="s">
        <v>26</v>
      </c>
    </row>
    <row r="33" spans="2:39" s="2" customFormat="1" x14ac:dyDescent="0.3">
      <c r="B33" s="8" t="s">
        <v>27</v>
      </c>
      <c r="C33" t="s">
        <v>28</v>
      </c>
      <c r="D3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8"/>
      <c r="AK33" s="1"/>
      <c r="AL33"/>
      <c r="AM33"/>
    </row>
    <row r="34" spans="2:39" s="2" customFormat="1" x14ac:dyDescent="0.3">
      <c r="B34" s="35" t="s">
        <v>4</v>
      </c>
      <c r="C34"/>
      <c r="D3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8"/>
      <c r="AK34" s="1"/>
      <c r="AL34"/>
      <c r="AM34"/>
    </row>
    <row r="35" spans="2:39" s="2" customFormat="1" x14ac:dyDescent="0.3">
      <c r="B35" s="8" t="s">
        <v>11</v>
      </c>
      <c r="C35" t="s">
        <v>29</v>
      </c>
      <c r="D3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8"/>
      <c r="AK35" s="1"/>
      <c r="AL35"/>
      <c r="AM35"/>
    </row>
    <row r="36" spans="2:39" s="2" customFormat="1" x14ac:dyDescent="0.3">
      <c r="B36" s="8" t="s">
        <v>30</v>
      </c>
      <c r="C36" t="s">
        <v>31</v>
      </c>
      <c r="D36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8"/>
      <c r="AK36" s="1"/>
      <c r="AL36"/>
      <c r="AM36"/>
    </row>
    <row r="37" spans="2:39" x14ac:dyDescent="0.3">
      <c r="B37" s="8" t="s">
        <v>11</v>
      </c>
      <c r="C37" t="s">
        <v>32</v>
      </c>
    </row>
    <row r="38" spans="2:39" s="2" customFormat="1" x14ac:dyDescent="0.3">
      <c r="B38" s="8" t="s">
        <v>13</v>
      </c>
      <c r="C38" t="s">
        <v>33</v>
      </c>
      <c r="D3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/>
      <c r="AK38" s="1"/>
      <c r="AL38"/>
      <c r="AM38"/>
    </row>
    <row r="39" spans="2:39" s="2" customFormat="1" x14ac:dyDescent="0.3">
      <c r="B39" s="8"/>
      <c r="C39"/>
      <c r="D3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/>
      <c r="AK39" s="1"/>
      <c r="AL39"/>
      <c r="AM39"/>
    </row>
    <row r="40" spans="2:39" s="2" customFormat="1" x14ac:dyDescent="0.3">
      <c r="B40" s="35" t="s">
        <v>34</v>
      </c>
      <c r="C40"/>
      <c r="D4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/>
      <c r="AK40" s="1"/>
      <c r="AL40"/>
      <c r="AM40" s="8"/>
    </row>
    <row r="41" spans="2:39" s="2" customFormat="1" x14ac:dyDescent="0.3">
      <c r="B41" t="s">
        <v>35</v>
      </c>
      <c r="C41"/>
      <c r="D41" s="8" t="s">
        <v>36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/>
      <c r="AK41" s="1"/>
      <c r="AL41"/>
      <c r="AM41"/>
    </row>
    <row r="42" spans="2:39" x14ac:dyDescent="0.3">
      <c r="B42" s="36" t="s">
        <v>37</v>
      </c>
    </row>
    <row r="43" spans="2:39" s="2" customFormat="1" x14ac:dyDescent="0.3">
      <c r="B43"/>
      <c r="C43"/>
      <c r="D4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/>
      <c r="AK43" s="1"/>
      <c r="AL43"/>
      <c r="AM43" s="8"/>
    </row>
    <row r="44" spans="2:39" s="2" customFormat="1" x14ac:dyDescent="0.3">
      <c r="B44" t="s">
        <v>38</v>
      </c>
      <c r="C44"/>
      <c r="D44" s="8" t="s">
        <v>36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/>
      <c r="AK44" s="1"/>
      <c r="AL44"/>
      <c r="AM44"/>
    </row>
    <row r="45" spans="2:39" x14ac:dyDescent="0.3">
      <c r="B45" s="1" t="s">
        <v>39</v>
      </c>
    </row>
    <row r="46" spans="2:39" s="2" customFormat="1" x14ac:dyDescent="0.3">
      <c r="B46"/>
      <c r="C46"/>
      <c r="D4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/>
      <c r="AK46" s="1"/>
      <c r="AL46"/>
      <c r="AM46" s="8"/>
    </row>
    <row r="47" spans="2:39" x14ac:dyDescent="0.3">
      <c r="B47" t="s">
        <v>40</v>
      </c>
      <c r="D47" s="8" t="s">
        <v>36</v>
      </c>
    </row>
    <row r="48" spans="2:39" x14ac:dyDescent="0.3">
      <c r="B48" s="1" t="s">
        <v>41</v>
      </c>
    </row>
    <row r="50" spans="2:3" x14ac:dyDescent="0.3">
      <c r="B50" t="s">
        <v>42</v>
      </c>
    </row>
    <row r="52" spans="2:3" ht="15.6" x14ac:dyDescent="0.3">
      <c r="B52" s="41" t="s">
        <v>43</v>
      </c>
      <c r="C52" s="40" t="s">
        <v>44</v>
      </c>
    </row>
    <row r="53" spans="2:3" ht="15.6" x14ac:dyDescent="0.3">
      <c r="B53" s="42" t="s">
        <v>45</v>
      </c>
      <c r="C53" s="38">
        <v>1.05</v>
      </c>
    </row>
    <row r="54" spans="2:3" ht="15.6" x14ac:dyDescent="0.3">
      <c r="B54" s="42" t="s">
        <v>46</v>
      </c>
      <c r="C54" s="38">
        <v>1</v>
      </c>
    </row>
    <row r="55" spans="2:3" ht="15.6" x14ac:dyDescent="0.3">
      <c r="B55" s="42" t="s">
        <v>47</v>
      </c>
      <c r="C55" s="38">
        <v>0.9</v>
      </c>
    </row>
    <row r="56" spans="2:3" ht="15.6" x14ac:dyDescent="0.3">
      <c r="B56" s="42" t="s">
        <v>48</v>
      </c>
      <c r="C56" s="38">
        <v>0.7</v>
      </c>
    </row>
    <row r="57" spans="2:3" ht="15.6" x14ac:dyDescent="0.3">
      <c r="B57" s="42" t="s">
        <v>49</v>
      </c>
      <c r="C57" s="38">
        <v>0.5</v>
      </c>
    </row>
    <row r="58" spans="2:3" ht="15.6" x14ac:dyDescent="0.3">
      <c r="B58" s="42" t="s">
        <v>50</v>
      </c>
      <c r="C58" s="39">
        <v>0</v>
      </c>
    </row>
  </sheetData>
  <mergeCells count="14">
    <mergeCell ref="A1:AM1"/>
    <mergeCell ref="AM8:AM10"/>
    <mergeCell ref="AM11:AM13"/>
    <mergeCell ref="AL5:AL7"/>
    <mergeCell ref="AM5:AM7"/>
    <mergeCell ref="AL8:AL10"/>
    <mergeCell ref="AL11:AL13"/>
    <mergeCell ref="A11:A13"/>
    <mergeCell ref="B11:B13"/>
    <mergeCell ref="B5:B7"/>
    <mergeCell ref="A5:A7"/>
    <mergeCell ref="E3:AI3"/>
    <mergeCell ref="A8:A10"/>
    <mergeCell ref="B8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CA1A0-BBFA-4DDF-87AB-421DC02C857A}">
  <dimension ref="A1:AM76"/>
  <sheetViews>
    <sheetView workbookViewId="0">
      <selection activeCell="J16" sqref="J16"/>
    </sheetView>
  </sheetViews>
  <sheetFormatPr defaultColWidth="10.77734375" defaultRowHeight="14.4" x14ac:dyDescent="0.3"/>
  <cols>
    <col min="1" max="1" width="7.6640625" customWidth="1"/>
    <col min="2" max="2" width="26" customWidth="1"/>
    <col min="3" max="3" width="23.77734375" customWidth="1"/>
    <col min="4" max="4" width="12.77734375" customWidth="1"/>
    <col min="5" max="35" width="5.33203125" style="1" customWidth="1"/>
    <col min="36" max="36" width="14.6640625" customWidth="1"/>
    <col min="37" max="37" width="10.44140625" style="1" customWidth="1"/>
    <col min="38" max="38" width="13.109375" customWidth="1"/>
    <col min="39" max="39" width="16.21875" customWidth="1"/>
  </cols>
  <sheetData>
    <row r="1" spans="1:39" ht="33.6" customHeight="1" x14ac:dyDescent="0.5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3" spans="1:39" ht="15.6" customHeight="1" x14ac:dyDescent="0.3">
      <c r="A3" s="3" t="s">
        <v>52</v>
      </c>
      <c r="B3" s="4" t="s">
        <v>0</v>
      </c>
      <c r="C3" s="4" t="s">
        <v>51</v>
      </c>
      <c r="D3" s="25" t="s">
        <v>88</v>
      </c>
      <c r="E3" s="18" t="s">
        <v>86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20"/>
      <c r="AJ3" s="24" t="s">
        <v>87</v>
      </c>
      <c r="AK3" s="17" t="s">
        <v>54</v>
      </c>
      <c r="AL3" s="21" t="s">
        <v>1</v>
      </c>
      <c r="AM3" s="22" t="s">
        <v>2</v>
      </c>
    </row>
    <row r="4" spans="1:39" x14ac:dyDescent="0.3">
      <c r="A4" s="3"/>
      <c r="B4" s="3"/>
      <c r="C4" s="3"/>
      <c r="D4" s="3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  <c r="O4" s="5">
        <v>11</v>
      </c>
      <c r="P4" s="5">
        <v>12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18</v>
      </c>
      <c r="W4" s="5">
        <v>19</v>
      </c>
      <c r="X4" s="5">
        <v>20</v>
      </c>
      <c r="Y4" s="5">
        <v>21</v>
      </c>
      <c r="Z4" s="5">
        <v>22</v>
      </c>
      <c r="AA4" s="5">
        <v>23</v>
      </c>
      <c r="AB4" s="5">
        <v>24</v>
      </c>
      <c r="AC4" s="5">
        <v>25</v>
      </c>
      <c r="AD4" s="5">
        <v>26</v>
      </c>
      <c r="AE4" s="5">
        <v>27</v>
      </c>
      <c r="AF4" s="5">
        <v>28</v>
      </c>
      <c r="AG4" s="5">
        <v>29</v>
      </c>
      <c r="AH4" s="5">
        <v>30</v>
      </c>
      <c r="AI4" s="5">
        <v>31</v>
      </c>
      <c r="AJ4" s="6"/>
      <c r="AK4" s="5"/>
      <c r="AL4" s="6"/>
      <c r="AM4" s="6"/>
    </row>
    <row r="5" spans="1:39" ht="15.6" x14ac:dyDescent="0.3">
      <c r="A5" s="9">
        <v>1004</v>
      </c>
      <c r="B5" s="12" t="s">
        <v>57</v>
      </c>
      <c r="C5" s="15" t="s">
        <v>3</v>
      </c>
      <c r="D5" s="27">
        <v>100</v>
      </c>
      <c r="E5" s="23">
        <v>0</v>
      </c>
      <c r="F5" s="23">
        <v>1</v>
      </c>
      <c r="G5" s="23">
        <v>2</v>
      </c>
      <c r="H5" s="23"/>
      <c r="I5" s="23">
        <v>-10</v>
      </c>
      <c r="J5" s="23">
        <v>-2</v>
      </c>
      <c r="K5" s="23">
        <v>1</v>
      </c>
      <c r="L5" s="23"/>
      <c r="M5" s="23">
        <v>-4</v>
      </c>
      <c r="N5" s="23"/>
      <c r="O5" s="23"/>
      <c r="P5" s="23"/>
      <c r="Q5" s="23"/>
      <c r="R5" s="23">
        <v>5</v>
      </c>
      <c r="S5" s="23"/>
      <c r="T5" s="23"/>
      <c r="U5" s="23"/>
      <c r="V5" s="23"/>
      <c r="W5" s="23">
        <v>-2</v>
      </c>
      <c r="X5" s="23"/>
      <c r="Y5" s="23"/>
      <c r="Z5" s="23"/>
      <c r="AA5" s="23">
        <v>5</v>
      </c>
      <c r="AB5" s="23"/>
      <c r="AC5" s="23"/>
      <c r="AD5" s="23"/>
      <c r="AE5" s="23"/>
      <c r="AF5" s="23"/>
      <c r="AG5" s="23"/>
      <c r="AH5" s="23"/>
      <c r="AI5" s="23"/>
      <c r="AJ5" s="28">
        <f>SUM(E5:AI5)+D5</f>
        <v>96</v>
      </c>
      <c r="AK5" s="16">
        <v>0.4</v>
      </c>
      <c r="AL5" s="29">
        <f>AJ5*AK5+AJ6*AK6+AJ7*AK7</f>
        <v>93.600000000000009</v>
      </c>
      <c r="AM5" s="32">
        <f>IF(AL5&gt;100,105%,IF(AL5&gt;=95,100%,IF(AL5&gt;=90,90%,IF(AL5&gt;=80,70%,IF(AL5&gt;=70,50%,0%)))))</f>
        <v>0.9</v>
      </c>
    </row>
    <row r="6" spans="1:39" ht="15.6" x14ac:dyDescent="0.3">
      <c r="A6" s="10"/>
      <c r="B6" s="13"/>
      <c r="C6" s="15" t="s">
        <v>90</v>
      </c>
      <c r="D6" s="27">
        <v>100</v>
      </c>
      <c r="E6" s="23"/>
      <c r="F6" s="23"/>
      <c r="G6" s="23"/>
      <c r="H6" s="23">
        <v>-1</v>
      </c>
      <c r="I6" s="23"/>
      <c r="J6" s="23"/>
      <c r="K6" s="23"/>
      <c r="L6" s="23"/>
      <c r="M6" s="23"/>
      <c r="N6" s="23">
        <v>1</v>
      </c>
      <c r="O6" s="23"/>
      <c r="P6" s="23"/>
      <c r="Q6" s="23"/>
      <c r="R6" s="23"/>
      <c r="S6" s="23"/>
      <c r="T6" s="23"/>
      <c r="U6" s="23">
        <v>3</v>
      </c>
      <c r="V6" s="23"/>
      <c r="W6" s="23"/>
      <c r="X6" s="23"/>
      <c r="Y6" s="23"/>
      <c r="Z6" s="23"/>
      <c r="AA6" s="23"/>
      <c r="AB6" s="23"/>
      <c r="AC6" s="23"/>
      <c r="AD6" s="23">
        <v>-10</v>
      </c>
      <c r="AE6" s="23"/>
      <c r="AF6" s="23"/>
      <c r="AG6" s="23"/>
      <c r="AH6" s="23"/>
      <c r="AI6" s="23"/>
      <c r="AJ6" s="28">
        <f t="shared" ref="AJ6:AJ10" si="0">SUM(E6:AI6)+D6</f>
        <v>93</v>
      </c>
      <c r="AK6" s="16">
        <v>0.3</v>
      </c>
      <c r="AL6" s="30"/>
      <c r="AM6" s="33"/>
    </row>
    <row r="7" spans="1:39" ht="15.6" x14ac:dyDescent="0.3">
      <c r="A7" s="11"/>
      <c r="B7" s="14"/>
      <c r="C7" s="15" t="s">
        <v>91</v>
      </c>
      <c r="D7" s="27">
        <v>100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>
        <v>-5</v>
      </c>
      <c r="U7" s="23"/>
      <c r="V7" s="23"/>
      <c r="W7" s="23"/>
      <c r="X7" s="23"/>
      <c r="Y7" s="23"/>
      <c r="Z7" s="23">
        <v>2</v>
      </c>
      <c r="AA7" s="23"/>
      <c r="AB7" s="23"/>
      <c r="AC7" s="23"/>
      <c r="AD7" s="23"/>
      <c r="AE7" s="23"/>
      <c r="AF7" s="23">
        <v>-6</v>
      </c>
      <c r="AG7" s="23"/>
      <c r="AH7" s="23"/>
      <c r="AI7" s="23"/>
      <c r="AJ7" s="28">
        <f t="shared" si="0"/>
        <v>91</v>
      </c>
      <c r="AK7" s="16">
        <v>0.3</v>
      </c>
      <c r="AL7" s="31"/>
      <c r="AM7" s="34"/>
    </row>
    <row r="8" spans="1:39" ht="15.6" x14ac:dyDescent="0.3">
      <c r="A8" s="9">
        <v>1005</v>
      </c>
      <c r="B8" s="12" t="s">
        <v>58</v>
      </c>
      <c r="C8" s="15" t="s">
        <v>3</v>
      </c>
      <c r="D8" s="27">
        <v>100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8">
        <f t="shared" si="0"/>
        <v>100</v>
      </c>
      <c r="AK8" s="16">
        <v>0.4</v>
      </c>
      <c r="AL8" s="29">
        <f t="shared" ref="AL8" si="1">AJ8*AK8+AJ9*AK9+AJ10*AK10</f>
        <v>100</v>
      </c>
      <c r="AM8" s="32">
        <f t="shared" ref="AM8" si="2">IF(AL8&gt;100,105%,IF(AL8&gt;=95,100%,IF(AL8&gt;=90,90%,IF(AL8&gt;=80,70%,IF(AL8&gt;=70,50%,0%)))))</f>
        <v>1</v>
      </c>
    </row>
    <row r="9" spans="1:39" ht="15.6" x14ac:dyDescent="0.3">
      <c r="A9" s="10"/>
      <c r="B9" s="13"/>
      <c r="C9" s="15" t="s">
        <v>90</v>
      </c>
      <c r="D9" s="27">
        <v>100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8">
        <f t="shared" si="0"/>
        <v>100</v>
      </c>
      <c r="AK9" s="16">
        <v>0.3</v>
      </c>
      <c r="AL9" s="30"/>
      <c r="AM9" s="33"/>
    </row>
    <row r="10" spans="1:39" ht="15.6" x14ac:dyDescent="0.3">
      <c r="A10" s="11"/>
      <c r="B10" s="14"/>
      <c r="C10" s="15" t="s">
        <v>91</v>
      </c>
      <c r="D10" s="27">
        <v>100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8">
        <f t="shared" si="0"/>
        <v>100</v>
      </c>
      <c r="AK10" s="16">
        <v>0.3</v>
      </c>
      <c r="AL10" s="31"/>
      <c r="AM10" s="34"/>
    </row>
    <row r="11" spans="1:39" ht="15.6" x14ac:dyDescent="0.3">
      <c r="A11" s="9">
        <v>1023</v>
      </c>
      <c r="B11" s="12" t="s">
        <v>76</v>
      </c>
      <c r="C11" s="15" t="s">
        <v>3</v>
      </c>
      <c r="D11" s="27">
        <v>100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8">
        <f t="shared" ref="AJ11:AJ31" si="3">SUM(E11:AI11)+D11</f>
        <v>100</v>
      </c>
      <c r="AK11" s="16">
        <v>0.4</v>
      </c>
      <c r="AL11" s="29">
        <f t="shared" ref="AL11" si="4">AJ11*AK11+AJ12*AK12+AJ13*AK13</f>
        <v>100</v>
      </c>
      <c r="AM11" s="32">
        <f t="shared" ref="AM11" si="5">IF(AL11&gt;100,105%,IF(AL11&gt;=95,100%,IF(AL11&gt;=90,90%,IF(AL11&gt;=80,70%,IF(AL11&gt;=70,50%,0%)))))</f>
        <v>1</v>
      </c>
    </row>
    <row r="12" spans="1:39" ht="15.6" x14ac:dyDescent="0.3">
      <c r="A12" s="10"/>
      <c r="B12" s="13"/>
      <c r="C12" s="15" t="s">
        <v>90</v>
      </c>
      <c r="D12" s="27">
        <v>100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8">
        <f t="shared" si="3"/>
        <v>100</v>
      </c>
      <c r="AK12" s="16">
        <v>0.3</v>
      </c>
      <c r="AL12" s="30"/>
      <c r="AM12" s="33"/>
    </row>
    <row r="13" spans="1:39" ht="15.6" x14ac:dyDescent="0.3">
      <c r="A13" s="11"/>
      <c r="B13" s="14"/>
      <c r="C13" s="15" t="s">
        <v>91</v>
      </c>
      <c r="D13" s="27">
        <v>100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8">
        <f t="shared" si="3"/>
        <v>100</v>
      </c>
      <c r="AK13" s="16">
        <v>0.3</v>
      </c>
      <c r="AL13" s="31"/>
      <c r="AM13" s="34"/>
    </row>
    <row r="14" spans="1:39" ht="15.6" x14ac:dyDescent="0.3">
      <c r="A14" s="9">
        <v>1024</v>
      </c>
      <c r="B14" s="12" t="s">
        <v>77</v>
      </c>
      <c r="C14" s="15" t="s">
        <v>3</v>
      </c>
      <c r="D14" s="27">
        <v>100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8">
        <f t="shared" si="3"/>
        <v>100</v>
      </c>
      <c r="AK14" s="16">
        <v>0.4</v>
      </c>
      <c r="AL14" s="29">
        <f t="shared" ref="AL14" si="6">AJ14*AK14+AJ15*AK15+AJ16*AK16</f>
        <v>100</v>
      </c>
      <c r="AM14" s="32">
        <f t="shared" ref="AM14" si="7">IF(AL14&gt;100,105%,IF(AL14&gt;=95,100%,IF(AL14&gt;=90,90%,IF(AL14&gt;=80,70%,IF(AL14&gt;=70,50%,0%)))))</f>
        <v>1</v>
      </c>
    </row>
    <row r="15" spans="1:39" ht="15.6" x14ac:dyDescent="0.3">
      <c r="A15" s="10"/>
      <c r="B15" s="13"/>
      <c r="C15" s="15" t="s">
        <v>90</v>
      </c>
      <c r="D15" s="27">
        <v>100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8">
        <f t="shared" si="3"/>
        <v>100</v>
      </c>
      <c r="AK15" s="16">
        <v>0.3</v>
      </c>
      <c r="AL15" s="30"/>
      <c r="AM15" s="33"/>
    </row>
    <row r="16" spans="1:39" ht="15.6" x14ac:dyDescent="0.3">
      <c r="A16" s="11"/>
      <c r="B16" s="14"/>
      <c r="C16" s="15" t="s">
        <v>91</v>
      </c>
      <c r="D16" s="27">
        <v>100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8">
        <f t="shared" si="3"/>
        <v>100</v>
      </c>
      <c r="AK16" s="16">
        <v>0.3</v>
      </c>
      <c r="AL16" s="31"/>
      <c r="AM16" s="34"/>
    </row>
    <row r="17" spans="1:39" ht="15.6" x14ac:dyDescent="0.3">
      <c r="A17" s="9">
        <v>1025</v>
      </c>
      <c r="B17" s="12" t="s">
        <v>78</v>
      </c>
      <c r="C17" s="15" t="s">
        <v>3</v>
      </c>
      <c r="D17" s="27">
        <v>100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8">
        <f t="shared" si="3"/>
        <v>100</v>
      </c>
      <c r="AK17" s="16">
        <v>0.4</v>
      </c>
      <c r="AL17" s="29">
        <f t="shared" ref="AL17" si="8">AJ17*AK17+AJ18*AK18+AJ19*AK19</f>
        <v>100</v>
      </c>
      <c r="AM17" s="32">
        <f>IF(AL17&gt;100,105%,IF(AL17&gt;=95,100%,IF(AL17&gt;=90,90%,IF(AL17&gt;=80,70%,IF(AL17&gt;=70,50%,0%)))))</f>
        <v>1</v>
      </c>
    </row>
    <row r="18" spans="1:39" ht="15.6" x14ac:dyDescent="0.3">
      <c r="A18" s="10"/>
      <c r="B18" s="13"/>
      <c r="C18" s="15" t="s">
        <v>90</v>
      </c>
      <c r="D18" s="27">
        <v>100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8">
        <f t="shared" si="3"/>
        <v>100</v>
      </c>
      <c r="AK18" s="16">
        <v>0.3</v>
      </c>
      <c r="AL18" s="30"/>
      <c r="AM18" s="33"/>
    </row>
    <row r="19" spans="1:39" ht="15.6" x14ac:dyDescent="0.3">
      <c r="A19" s="11"/>
      <c r="B19" s="14"/>
      <c r="C19" s="15" t="s">
        <v>91</v>
      </c>
      <c r="D19" s="27">
        <v>100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8">
        <f t="shared" si="3"/>
        <v>100</v>
      </c>
      <c r="AK19" s="16">
        <v>0.3</v>
      </c>
      <c r="AL19" s="31"/>
      <c r="AM19" s="34"/>
    </row>
    <row r="20" spans="1:39" ht="15.6" x14ac:dyDescent="0.3">
      <c r="A20" s="9">
        <v>1026</v>
      </c>
      <c r="B20" s="12" t="s">
        <v>79</v>
      </c>
      <c r="C20" s="15" t="s">
        <v>3</v>
      </c>
      <c r="D20" s="27">
        <v>100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8">
        <f t="shared" si="3"/>
        <v>100</v>
      </c>
      <c r="AK20" s="16">
        <v>0.4</v>
      </c>
      <c r="AL20" s="29">
        <f t="shared" ref="AL20" si="9">AJ20*AK20+AJ21*AK21+AJ22*AK22</f>
        <v>100</v>
      </c>
      <c r="AM20" s="32">
        <f t="shared" ref="AM20" si="10">IF(AL20&gt;100,105%,IF(AL20&gt;=95,100%,IF(AL20&gt;=90,90%,IF(AL20&gt;=80,70%,IF(AL20&gt;=70,50%,0%)))))</f>
        <v>1</v>
      </c>
    </row>
    <row r="21" spans="1:39" ht="15.6" x14ac:dyDescent="0.3">
      <c r="A21" s="10"/>
      <c r="B21" s="13"/>
      <c r="C21" s="15" t="s">
        <v>90</v>
      </c>
      <c r="D21" s="27">
        <v>100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8">
        <f t="shared" si="3"/>
        <v>100</v>
      </c>
      <c r="AK21" s="16">
        <v>0.3</v>
      </c>
      <c r="AL21" s="30"/>
      <c r="AM21" s="33"/>
    </row>
    <row r="22" spans="1:39" ht="15.6" x14ac:dyDescent="0.3">
      <c r="A22" s="11"/>
      <c r="B22" s="14"/>
      <c r="C22" s="15" t="s">
        <v>91</v>
      </c>
      <c r="D22" s="27">
        <v>100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8">
        <f t="shared" si="3"/>
        <v>100</v>
      </c>
      <c r="AK22" s="16">
        <v>0.3</v>
      </c>
      <c r="AL22" s="31"/>
      <c r="AM22" s="34"/>
    </row>
    <row r="23" spans="1:39" ht="15.6" x14ac:dyDescent="0.3">
      <c r="A23" s="9">
        <v>1029</v>
      </c>
      <c r="B23" s="12" t="s">
        <v>84</v>
      </c>
      <c r="C23" s="15" t="s">
        <v>3</v>
      </c>
      <c r="D23" s="27">
        <v>100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8">
        <f>SUM(E23:AI23)+D23</f>
        <v>100</v>
      </c>
      <c r="AK23" s="16">
        <v>0.4</v>
      </c>
      <c r="AL23" s="29">
        <f t="shared" ref="AL23" si="11">AJ23*AK23+AJ24*AK24+AJ25*AK25</f>
        <v>100</v>
      </c>
      <c r="AM23" s="32">
        <f t="shared" ref="AM23" si="12">IF(AL23&gt;100,105%,IF(AL23&gt;=95,100%,IF(AL23&gt;=90,90%,IF(AL23&gt;=80,70%,IF(AL23&gt;=70,50%,0%)))))</f>
        <v>1</v>
      </c>
    </row>
    <row r="24" spans="1:39" ht="15.6" x14ac:dyDescent="0.3">
      <c r="A24" s="10"/>
      <c r="B24" s="13"/>
      <c r="C24" s="15" t="s">
        <v>90</v>
      </c>
      <c r="D24" s="27">
        <v>100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8">
        <f>SUM(E24:AI24)+D24</f>
        <v>100</v>
      </c>
      <c r="AK24" s="16">
        <v>0.3</v>
      </c>
      <c r="AL24" s="30"/>
      <c r="AM24" s="33"/>
    </row>
    <row r="25" spans="1:39" ht="15.6" x14ac:dyDescent="0.3">
      <c r="A25" s="11"/>
      <c r="B25" s="14"/>
      <c r="C25" s="15" t="s">
        <v>91</v>
      </c>
      <c r="D25" s="27">
        <v>100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8">
        <f>SUM(E25:AI25)+D25</f>
        <v>100</v>
      </c>
      <c r="AK25" s="16">
        <v>0.3</v>
      </c>
      <c r="AL25" s="31"/>
      <c r="AM25" s="34"/>
    </row>
    <row r="26" spans="1:39" ht="15.6" x14ac:dyDescent="0.3">
      <c r="A26" s="9">
        <v>4001</v>
      </c>
      <c r="B26" s="12" t="s">
        <v>80</v>
      </c>
      <c r="C26" s="15" t="s">
        <v>3</v>
      </c>
      <c r="D26" s="27">
        <v>100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8">
        <f t="shared" si="3"/>
        <v>100</v>
      </c>
      <c r="AK26" s="16">
        <v>0.4</v>
      </c>
      <c r="AL26" s="29">
        <f>AJ26*AK26+AJ27*AK27+AJ28*AK28</f>
        <v>100</v>
      </c>
      <c r="AM26" s="32">
        <f t="shared" ref="AM26" si="13">IF(AL26&gt;100,105%,IF(AL26&gt;=95,100%,IF(AL26&gt;=90,90%,IF(AL26&gt;=80,70%,IF(AL26&gt;=70,50%,0%)))))</f>
        <v>1</v>
      </c>
    </row>
    <row r="27" spans="1:39" ht="15.6" x14ac:dyDescent="0.3">
      <c r="A27" s="10"/>
      <c r="B27" s="13"/>
      <c r="C27" s="15" t="s">
        <v>90</v>
      </c>
      <c r="D27" s="27">
        <v>100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8">
        <f t="shared" si="3"/>
        <v>100</v>
      </c>
      <c r="AK27" s="16">
        <v>0.3</v>
      </c>
      <c r="AL27" s="30"/>
      <c r="AM27" s="33"/>
    </row>
    <row r="28" spans="1:39" ht="15.6" x14ac:dyDescent="0.3">
      <c r="A28" s="11"/>
      <c r="B28" s="14"/>
      <c r="C28" s="15" t="s">
        <v>91</v>
      </c>
      <c r="D28" s="27">
        <v>100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8">
        <f t="shared" si="3"/>
        <v>100</v>
      </c>
      <c r="AK28" s="16">
        <v>0.3</v>
      </c>
      <c r="AL28" s="31"/>
      <c r="AM28" s="34"/>
    </row>
    <row r="29" spans="1:39" ht="15.6" x14ac:dyDescent="0.3">
      <c r="A29" s="9">
        <v>4002</v>
      </c>
      <c r="B29" s="12" t="s">
        <v>81</v>
      </c>
      <c r="C29" s="15" t="s">
        <v>3</v>
      </c>
      <c r="D29" s="27">
        <v>100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8">
        <f t="shared" si="3"/>
        <v>100</v>
      </c>
      <c r="AK29" s="16">
        <v>0.4</v>
      </c>
      <c r="AL29" s="29">
        <f>AJ29*AK29+AJ30*AK30+AJ31*AK31</f>
        <v>100</v>
      </c>
      <c r="AM29" s="32">
        <f t="shared" ref="AM29" si="14">IF(AL29&gt;100,105%,IF(AL29&gt;=95,100%,IF(AL29&gt;=90,90%,IF(AL29&gt;=80,70%,IF(AL29&gt;=70,50%,0%)))))</f>
        <v>1</v>
      </c>
    </row>
    <row r="30" spans="1:39" ht="15.6" x14ac:dyDescent="0.3">
      <c r="A30" s="10"/>
      <c r="B30" s="13"/>
      <c r="C30" s="15" t="s">
        <v>90</v>
      </c>
      <c r="D30" s="27">
        <v>100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8">
        <f t="shared" si="3"/>
        <v>100</v>
      </c>
      <c r="AK30" s="16">
        <v>0.3</v>
      </c>
      <c r="AL30" s="30"/>
      <c r="AM30" s="33"/>
    </row>
    <row r="31" spans="1:39" ht="15.6" x14ac:dyDescent="0.3">
      <c r="A31" s="11"/>
      <c r="B31" s="14"/>
      <c r="C31" s="15" t="s">
        <v>91</v>
      </c>
      <c r="D31" s="27">
        <v>100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8">
        <f t="shared" si="3"/>
        <v>100</v>
      </c>
      <c r="AK31" s="16">
        <v>0.3</v>
      </c>
      <c r="AL31" s="31"/>
      <c r="AM31" s="34"/>
    </row>
    <row r="32" spans="1:39" ht="15.6" x14ac:dyDescent="0.3">
      <c r="A32" s="3"/>
      <c r="B32" s="3"/>
      <c r="C32" s="3"/>
      <c r="D32" s="2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3"/>
      <c r="AK32" s="7"/>
      <c r="AL32" s="3"/>
      <c r="AM32" s="3"/>
    </row>
    <row r="33" spans="1:39" ht="15.6" x14ac:dyDescent="0.3">
      <c r="A33" s="3"/>
      <c r="B33" s="3" t="str">
        <f>'[1]Bảng lương LC'!D40</f>
        <v>TỔNG CỘNG</v>
      </c>
      <c r="C33" s="3"/>
      <c r="D33" s="2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3"/>
      <c r="AK33" s="7"/>
      <c r="AL33" s="3"/>
      <c r="AM33" s="3"/>
    </row>
    <row r="36" spans="1:39" x14ac:dyDescent="0.3">
      <c r="B36" s="35" t="s">
        <v>5</v>
      </c>
      <c r="AJ36" s="8"/>
      <c r="AL36" s="8"/>
    </row>
    <row r="37" spans="1:39" x14ac:dyDescent="0.3">
      <c r="B37" t="s">
        <v>6</v>
      </c>
      <c r="AJ37" s="8"/>
      <c r="AL37" s="8"/>
    </row>
    <row r="38" spans="1:39" x14ac:dyDescent="0.3">
      <c r="B38" s="37" t="s">
        <v>7</v>
      </c>
      <c r="C38" s="8" t="s">
        <v>8</v>
      </c>
      <c r="AJ38" s="8"/>
    </row>
    <row r="39" spans="1:39" x14ac:dyDescent="0.3">
      <c r="B39" s="37" t="s">
        <v>9</v>
      </c>
      <c r="C39" s="8" t="s">
        <v>10</v>
      </c>
      <c r="AJ39" s="8"/>
    </row>
    <row r="40" spans="1:39" x14ac:dyDescent="0.3">
      <c r="B40" s="37" t="s">
        <v>11</v>
      </c>
      <c r="C40" t="s">
        <v>12</v>
      </c>
      <c r="AJ40" s="8"/>
    </row>
    <row r="41" spans="1:39" x14ac:dyDescent="0.3">
      <c r="B41" s="37" t="s">
        <v>13</v>
      </c>
      <c r="C41" t="s">
        <v>14</v>
      </c>
      <c r="AJ41" s="8"/>
    </row>
    <row r="42" spans="1:39" x14ac:dyDescent="0.3">
      <c r="B42" s="37" t="s">
        <v>13</v>
      </c>
      <c r="C42" t="s">
        <v>15</v>
      </c>
      <c r="AJ42" s="8"/>
    </row>
    <row r="43" spans="1:39" x14ac:dyDescent="0.3">
      <c r="B43" s="37" t="s">
        <v>16</v>
      </c>
      <c r="C43" t="s">
        <v>17</v>
      </c>
      <c r="AJ43" s="8"/>
    </row>
    <row r="44" spans="1:39" x14ac:dyDescent="0.3">
      <c r="B44" s="37" t="s">
        <v>18</v>
      </c>
      <c r="C44" t="s">
        <v>19</v>
      </c>
    </row>
    <row r="45" spans="1:39" x14ac:dyDescent="0.3">
      <c r="B45" s="37" t="s">
        <v>20</v>
      </c>
      <c r="C45" t="s">
        <v>21</v>
      </c>
      <c r="AJ45" s="8"/>
    </row>
    <row r="46" spans="1:39" x14ac:dyDescent="0.3">
      <c r="B46" s="35" t="s">
        <v>22</v>
      </c>
      <c r="AJ46" s="8"/>
    </row>
    <row r="47" spans="1:39" x14ac:dyDescent="0.3">
      <c r="B47" s="8" t="s">
        <v>13</v>
      </c>
      <c r="C47" t="s">
        <v>23</v>
      </c>
      <c r="AJ47" s="8"/>
    </row>
    <row r="48" spans="1:39" s="2" customFormat="1" x14ac:dyDescent="0.3">
      <c r="B48" s="8" t="s">
        <v>9</v>
      </c>
      <c r="C48" t="s">
        <v>24</v>
      </c>
      <c r="D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8"/>
      <c r="AK48" s="1"/>
      <c r="AL48"/>
      <c r="AM48"/>
    </row>
    <row r="49" spans="2:39" s="2" customFormat="1" x14ac:dyDescent="0.3">
      <c r="B49" s="8" t="s">
        <v>13</v>
      </c>
      <c r="C49" t="s">
        <v>25</v>
      </c>
      <c r="D4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8"/>
      <c r="AK49" s="1"/>
      <c r="AL49"/>
      <c r="AM49"/>
    </row>
    <row r="50" spans="2:39" x14ac:dyDescent="0.3">
      <c r="B50" s="8" t="s">
        <v>13</v>
      </c>
      <c r="C50" t="s">
        <v>26</v>
      </c>
    </row>
    <row r="51" spans="2:39" s="2" customFormat="1" x14ac:dyDescent="0.3">
      <c r="B51" s="8" t="s">
        <v>27</v>
      </c>
      <c r="C51" t="s">
        <v>28</v>
      </c>
      <c r="D5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8"/>
      <c r="AK51" s="1"/>
      <c r="AL51"/>
      <c r="AM51"/>
    </row>
    <row r="52" spans="2:39" s="2" customFormat="1" x14ac:dyDescent="0.3">
      <c r="B52" s="35" t="s">
        <v>4</v>
      </c>
      <c r="C52"/>
      <c r="D5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8"/>
      <c r="AK52" s="1"/>
      <c r="AL52"/>
      <c r="AM52"/>
    </row>
    <row r="53" spans="2:39" s="2" customFormat="1" x14ac:dyDescent="0.3">
      <c r="B53" s="8" t="s">
        <v>11</v>
      </c>
      <c r="C53" t="s">
        <v>29</v>
      </c>
      <c r="D5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8"/>
      <c r="AK53" s="1"/>
      <c r="AL53"/>
      <c r="AM53"/>
    </row>
    <row r="54" spans="2:39" s="2" customFormat="1" x14ac:dyDescent="0.3">
      <c r="B54" s="8" t="s">
        <v>30</v>
      </c>
      <c r="C54" t="s">
        <v>31</v>
      </c>
      <c r="D54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8"/>
      <c r="AK54" s="1"/>
      <c r="AL54"/>
      <c r="AM54"/>
    </row>
    <row r="55" spans="2:39" x14ac:dyDescent="0.3">
      <c r="B55" s="8" t="s">
        <v>11</v>
      </c>
      <c r="C55" t="s">
        <v>32</v>
      </c>
    </row>
    <row r="56" spans="2:39" s="2" customFormat="1" x14ac:dyDescent="0.3">
      <c r="B56" s="8" t="s">
        <v>13</v>
      </c>
      <c r="C56" t="s">
        <v>33</v>
      </c>
      <c r="D56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/>
      <c r="AK56" s="1"/>
      <c r="AL56"/>
      <c r="AM56"/>
    </row>
    <row r="57" spans="2:39" s="2" customFormat="1" x14ac:dyDescent="0.3">
      <c r="B57" s="8"/>
      <c r="C57"/>
      <c r="D57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/>
      <c r="AK57" s="1"/>
      <c r="AL57"/>
      <c r="AM57"/>
    </row>
    <row r="58" spans="2:39" s="2" customFormat="1" x14ac:dyDescent="0.3">
      <c r="B58" s="35" t="s">
        <v>34</v>
      </c>
      <c r="C58"/>
      <c r="D5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/>
      <c r="AK58" s="1"/>
      <c r="AL58"/>
      <c r="AM58" s="8"/>
    </row>
    <row r="59" spans="2:39" s="2" customFormat="1" x14ac:dyDescent="0.3">
      <c r="B59" t="s">
        <v>35</v>
      </c>
      <c r="C59"/>
      <c r="D59" s="8" t="s">
        <v>36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/>
      <c r="AK59" s="1"/>
      <c r="AL59"/>
      <c r="AM59"/>
    </row>
    <row r="60" spans="2:39" x14ac:dyDescent="0.3">
      <c r="B60" s="36" t="s">
        <v>37</v>
      </c>
    </row>
    <row r="61" spans="2:39" s="2" customFormat="1" x14ac:dyDescent="0.3">
      <c r="B61"/>
      <c r="C61"/>
      <c r="D6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/>
      <c r="AK61" s="1"/>
      <c r="AL61"/>
      <c r="AM61" s="8"/>
    </row>
    <row r="62" spans="2:39" s="2" customFormat="1" x14ac:dyDescent="0.3">
      <c r="B62" t="s">
        <v>38</v>
      </c>
      <c r="C62"/>
      <c r="D62" s="8" t="s">
        <v>36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/>
      <c r="AK62" s="1"/>
      <c r="AL62"/>
      <c r="AM62"/>
    </row>
    <row r="63" spans="2:39" x14ac:dyDescent="0.3">
      <c r="B63" s="1" t="s">
        <v>39</v>
      </c>
    </row>
    <row r="64" spans="2:39" s="2" customFormat="1" x14ac:dyDescent="0.3">
      <c r="B64"/>
      <c r="C64"/>
      <c r="D6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/>
      <c r="AK64" s="1"/>
      <c r="AL64"/>
      <c r="AM64" s="8"/>
    </row>
    <row r="65" spans="2:4" x14ac:dyDescent="0.3">
      <c r="B65" t="s">
        <v>40</v>
      </c>
      <c r="D65" s="8" t="s">
        <v>36</v>
      </c>
    </row>
    <row r="66" spans="2:4" x14ac:dyDescent="0.3">
      <c r="B66" s="1" t="s">
        <v>41</v>
      </c>
    </row>
    <row r="68" spans="2:4" x14ac:dyDescent="0.3">
      <c r="B68" t="s">
        <v>42</v>
      </c>
    </row>
    <row r="70" spans="2:4" ht="15.6" x14ac:dyDescent="0.3">
      <c r="B70" s="41" t="s">
        <v>43</v>
      </c>
      <c r="C70" s="40" t="s">
        <v>44</v>
      </c>
    </row>
    <row r="71" spans="2:4" ht="15.6" x14ac:dyDescent="0.3">
      <c r="B71" s="42" t="s">
        <v>45</v>
      </c>
      <c r="C71" s="38">
        <v>1.05</v>
      </c>
    </row>
    <row r="72" spans="2:4" ht="15.6" x14ac:dyDescent="0.3">
      <c r="B72" s="42" t="s">
        <v>46</v>
      </c>
      <c r="C72" s="38">
        <v>1</v>
      </c>
    </row>
    <row r="73" spans="2:4" ht="15.6" x14ac:dyDescent="0.3">
      <c r="B73" s="42" t="s">
        <v>47</v>
      </c>
      <c r="C73" s="38">
        <v>0.9</v>
      </c>
    </row>
    <row r="74" spans="2:4" ht="15.6" x14ac:dyDescent="0.3">
      <c r="B74" s="42" t="s">
        <v>48</v>
      </c>
      <c r="C74" s="38">
        <v>0.7</v>
      </c>
    </row>
    <row r="75" spans="2:4" ht="15.6" x14ac:dyDescent="0.3">
      <c r="B75" s="42" t="s">
        <v>49</v>
      </c>
      <c r="C75" s="38">
        <v>0.5</v>
      </c>
    </row>
    <row r="76" spans="2:4" ht="15.6" x14ac:dyDescent="0.3">
      <c r="B76" s="42" t="s">
        <v>50</v>
      </c>
      <c r="C76" s="39">
        <v>0</v>
      </c>
    </row>
  </sheetData>
  <mergeCells count="38">
    <mergeCell ref="A23:A25"/>
    <mergeCell ref="B23:B25"/>
    <mergeCell ref="AL23:AL25"/>
    <mergeCell ref="AM23:AM25"/>
    <mergeCell ref="A26:A28"/>
    <mergeCell ref="B26:B28"/>
    <mergeCell ref="AL26:AL28"/>
    <mergeCell ref="AM26:AM28"/>
    <mergeCell ref="A29:A31"/>
    <mergeCell ref="B29:B31"/>
    <mergeCell ref="AL29:AL31"/>
    <mergeCell ref="AM29:AM31"/>
    <mergeCell ref="A17:A19"/>
    <mergeCell ref="B17:B19"/>
    <mergeCell ref="AL17:AL19"/>
    <mergeCell ref="AM17:AM19"/>
    <mergeCell ref="A20:A22"/>
    <mergeCell ref="B20:B22"/>
    <mergeCell ref="AL20:AL22"/>
    <mergeCell ref="AM20:AM22"/>
    <mergeCell ref="A11:A13"/>
    <mergeCell ref="B11:B13"/>
    <mergeCell ref="AL11:AL13"/>
    <mergeCell ref="AM11:AM13"/>
    <mergeCell ref="A14:A16"/>
    <mergeCell ref="B14:B16"/>
    <mergeCell ref="AL14:AL16"/>
    <mergeCell ref="AM14:AM16"/>
    <mergeCell ref="A8:A10"/>
    <mergeCell ref="B8:B10"/>
    <mergeCell ref="AL8:AL10"/>
    <mergeCell ref="AM8:AM10"/>
    <mergeCell ref="A1:AM1"/>
    <mergeCell ref="E3:AI3"/>
    <mergeCell ref="A5:A7"/>
    <mergeCell ref="B5:B7"/>
    <mergeCell ref="AL5:AL7"/>
    <mergeCell ref="AM5:A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5AE40-0CEA-4360-A21A-3A28A3FF33EB}">
  <dimension ref="A1:AM67"/>
  <sheetViews>
    <sheetView workbookViewId="0">
      <selection activeCell="L13" sqref="L13"/>
    </sheetView>
  </sheetViews>
  <sheetFormatPr defaultColWidth="10.77734375" defaultRowHeight="14.4" x14ac:dyDescent="0.3"/>
  <cols>
    <col min="1" max="1" width="7.6640625" customWidth="1"/>
    <col min="2" max="2" width="26" customWidth="1"/>
    <col min="3" max="3" width="30.21875" customWidth="1"/>
    <col min="4" max="4" width="12.77734375" customWidth="1"/>
    <col min="5" max="35" width="5.33203125" style="1" customWidth="1"/>
    <col min="36" max="36" width="14.6640625" customWidth="1"/>
    <col min="37" max="37" width="10.44140625" style="1" customWidth="1"/>
    <col min="38" max="38" width="13.109375" customWidth="1"/>
    <col min="39" max="39" width="16.21875" customWidth="1"/>
  </cols>
  <sheetData>
    <row r="1" spans="1:39" ht="33.6" customHeight="1" x14ac:dyDescent="0.5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3" spans="1:39" ht="15.6" customHeight="1" x14ac:dyDescent="0.3">
      <c r="A3" s="3" t="s">
        <v>52</v>
      </c>
      <c r="B3" s="4" t="s">
        <v>0</v>
      </c>
      <c r="C3" s="4" t="s">
        <v>51</v>
      </c>
      <c r="D3" s="25" t="s">
        <v>88</v>
      </c>
      <c r="E3" s="18" t="s">
        <v>86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20"/>
      <c r="AJ3" s="24" t="s">
        <v>87</v>
      </c>
      <c r="AK3" s="17" t="s">
        <v>54</v>
      </c>
      <c r="AL3" s="21" t="s">
        <v>1</v>
      </c>
      <c r="AM3" s="22" t="s">
        <v>2</v>
      </c>
    </row>
    <row r="4" spans="1:39" x14ac:dyDescent="0.3">
      <c r="A4" s="3"/>
      <c r="B4" s="3"/>
      <c r="C4" s="3"/>
      <c r="D4" s="3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  <c r="O4" s="5">
        <v>11</v>
      </c>
      <c r="P4" s="5">
        <v>12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18</v>
      </c>
      <c r="W4" s="5">
        <v>19</v>
      </c>
      <c r="X4" s="5">
        <v>20</v>
      </c>
      <c r="Y4" s="5">
        <v>21</v>
      </c>
      <c r="Z4" s="5">
        <v>22</v>
      </c>
      <c r="AA4" s="5">
        <v>23</v>
      </c>
      <c r="AB4" s="5">
        <v>24</v>
      </c>
      <c r="AC4" s="5">
        <v>25</v>
      </c>
      <c r="AD4" s="5">
        <v>26</v>
      </c>
      <c r="AE4" s="5">
        <v>27</v>
      </c>
      <c r="AF4" s="5">
        <v>28</v>
      </c>
      <c r="AG4" s="5">
        <v>29</v>
      </c>
      <c r="AH4" s="5">
        <v>30</v>
      </c>
      <c r="AI4" s="5">
        <v>31</v>
      </c>
      <c r="AJ4" s="6"/>
      <c r="AK4" s="5"/>
      <c r="AL4" s="6"/>
      <c r="AM4" s="6"/>
    </row>
    <row r="5" spans="1:39" ht="15.6" x14ac:dyDescent="0.3">
      <c r="A5" s="9">
        <v>1006</v>
      </c>
      <c r="B5" s="12" t="s">
        <v>59</v>
      </c>
      <c r="C5" s="15" t="s">
        <v>3</v>
      </c>
      <c r="D5" s="27">
        <v>100</v>
      </c>
      <c r="E5" s="23">
        <v>0</v>
      </c>
      <c r="F5" s="23">
        <v>1</v>
      </c>
      <c r="G5" s="23">
        <v>2</v>
      </c>
      <c r="H5" s="23"/>
      <c r="I5" s="23">
        <v>-10</v>
      </c>
      <c r="J5" s="23">
        <v>-2</v>
      </c>
      <c r="K5" s="23">
        <v>1</v>
      </c>
      <c r="L5" s="23"/>
      <c r="M5" s="23">
        <v>-4</v>
      </c>
      <c r="N5" s="23"/>
      <c r="O5" s="23"/>
      <c r="P5" s="23"/>
      <c r="Q5" s="23"/>
      <c r="R5" s="23">
        <v>5</v>
      </c>
      <c r="S5" s="23"/>
      <c r="T5" s="23"/>
      <c r="U5" s="23"/>
      <c r="V5" s="23"/>
      <c r="W5" s="23">
        <v>-2</v>
      </c>
      <c r="X5" s="23"/>
      <c r="Y5" s="23"/>
      <c r="Z5" s="23"/>
      <c r="AA5" s="23">
        <v>5</v>
      </c>
      <c r="AB5" s="23"/>
      <c r="AC5" s="23"/>
      <c r="AD5" s="23"/>
      <c r="AE5" s="23"/>
      <c r="AF5" s="23"/>
      <c r="AG5" s="23"/>
      <c r="AH5" s="23"/>
      <c r="AI5" s="23"/>
      <c r="AJ5" s="28">
        <f>SUM(E5:AI5)+D5</f>
        <v>96</v>
      </c>
      <c r="AK5" s="16">
        <v>0.4</v>
      </c>
      <c r="AL5" s="29">
        <f>AJ5*AK5+AJ6*AK6+AJ7*AK7</f>
        <v>93.600000000000009</v>
      </c>
      <c r="AM5" s="32">
        <f>IF(AL5&gt;100,105%,IF(AL5&gt;=95,100%,IF(AL5&gt;=90,90%,IF(AL5&gt;=80,70%,IF(AL5&gt;=70,50%,0%)))))</f>
        <v>0.9</v>
      </c>
    </row>
    <row r="6" spans="1:39" ht="15.6" x14ac:dyDescent="0.3">
      <c r="A6" s="10"/>
      <c r="B6" s="13"/>
      <c r="C6" s="15" t="s">
        <v>53</v>
      </c>
      <c r="D6" s="27">
        <v>100</v>
      </c>
      <c r="E6" s="23"/>
      <c r="F6" s="23"/>
      <c r="G6" s="23"/>
      <c r="H6" s="23">
        <v>-1</v>
      </c>
      <c r="I6" s="23"/>
      <c r="J6" s="23"/>
      <c r="K6" s="23"/>
      <c r="L6" s="23"/>
      <c r="M6" s="23"/>
      <c r="N6" s="23">
        <v>1</v>
      </c>
      <c r="O6" s="23"/>
      <c r="P6" s="23"/>
      <c r="Q6" s="23"/>
      <c r="R6" s="23"/>
      <c r="S6" s="23"/>
      <c r="T6" s="23"/>
      <c r="U6" s="23">
        <v>3</v>
      </c>
      <c r="V6" s="23"/>
      <c r="W6" s="23"/>
      <c r="X6" s="23"/>
      <c r="Y6" s="23"/>
      <c r="Z6" s="23"/>
      <c r="AA6" s="23"/>
      <c r="AB6" s="23"/>
      <c r="AC6" s="23"/>
      <c r="AD6" s="23">
        <v>-10</v>
      </c>
      <c r="AE6" s="23"/>
      <c r="AF6" s="23"/>
      <c r="AG6" s="23"/>
      <c r="AH6" s="23"/>
      <c r="AI6" s="23"/>
      <c r="AJ6" s="28">
        <f t="shared" ref="AJ6:AJ22" si="0">SUM(E6:AI6)+D6</f>
        <v>93</v>
      </c>
      <c r="AK6" s="16">
        <v>0.3</v>
      </c>
      <c r="AL6" s="30"/>
      <c r="AM6" s="33"/>
    </row>
    <row r="7" spans="1:39" ht="15.6" x14ac:dyDescent="0.3">
      <c r="A7" s="11"/>
      <c r="B7" s="14"/>
      <c r="C7" s="15" t="s">
        <v>4</v>
      </c>
      <c r="D7" s="27">
        <v>100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>
        <v>-5</v>
      </c>
      <c r="U7" s="23"/>
      <c r="V7" s="23"/>
      <c r="W7" s="23"/>
      <c r="X7" s="23"/>
      <c r="Y7" s="23"/>
      <c r="Z7" s="23">
        <v>2</v>
      </c>
      <c r="AA7" s="23"/>
      <c r="AB7" s="23"/>
      <c r="AC7" s="23"/>
      <c r="AD7" s="23"/>
      <c r="AE7" s="23"/>
      <c r="AF7" s="23">
        <v>-6</v>
      </c>
      <c r="AG7" s="23"/>
      <c r="AH7" s="23"/>
      <c r="AI7" s="23"/>
      <c r="AJ7" s="28">
        <f t="shared" si="0"/>
        <v>91</v>
      </c>
      <c r="AK7" s="16">
        <v>0.3</v>
      </c>
      <c r="AL7" s="31"/>
      <c r="AM7" s="34"/>
    </row>
    <row r="8" spans="1:39" ht="15.6" x14ac:dyDescent="0.3">
      <c r="A8" s="9">
        <v>1007</v>
      </c>
      <c r="B8" s="12" t="s">
        <v>60</v>
      </c>
      <c r="C8" s="15" t="s">
        <v>3</v>
      </c>
      <c r="D8" s="27">
        <v>100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8">
        <f t="shared" si="0"/>
        <v>100</v>
      </c>
      <c r="AK8" s="16">
        <v>0.4</v>
      </c>
      <c r="AL8" s="29">
        <f t="shared" ref="AL8" si="1">AJ8*AK8+AJ9*AK9+AJ10*AK10</f>
        <v>100</v>
      </c>
      <c r="AM8" s="32">
        <f t="shared" ref="AM8" si="2">IF(AL8&gt;100,105%,IF(AL8&gt;=95,100%,IF(AL8&gt;=90,90%,IF(AL8&gt;=80,70%,IF(AL8&gt;=70,50%,0%)))))</f>
        <v>1</v>
      </c>
    </row>
    <row r="9" spans="1:39" ht="15.6" x14ac:dyDescent="0.3">
      <c r="A9" s="10"/>
      <c r="B9" s="13"/>
      <c r="C9" s="15" t="s">
        <v>53</v>
      </c>
      <c r="D9" s="27">
        <v>100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8">
        <f t="shared" si="0"/>
        <v>100</v>
      </c>
      <c r="AK9" s="16">
        <v>0.3</v>
      </c>
      <c r="AL9" s="30"/>
      <c r="AM9" s="33"/>
    </row>
    <row r="10" spans="1:39" ht="15.6" x14ac:dyDescent="0.3">
      <c r="A10" s="11"/>
      <c r="B10" s="14"/>
      <c r="C10" s="15" t="s">
        <v>4</v>
      </c>
      <c r="D10" s="27">
        <v>100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8">
        <f t="shared" si="0"/>
        <v>100</v>
      </c>
      <c r="AK10" s="16">
        <v>0.3</v>
      </c>
      <c r="AL10" s="31"/>
      <c r="AM10" s="34"/>
    </row>
    <row r="11" spans="1:39" ht="15.6" x14ac:dyDescent="0.3">
      <c r="A11" s="9">
        <v>1008</v>
      </c>
      <c r="B11" s="12" t="s">
        <v>61</v>
      </c>
      <c r="C11" s="15" t="s">
        <v>3</v>
      </c>
      <c r="D11" s="27">
        <v>100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8">
        <f t="shared" si="0"/>
        <v>100</v>
      </c>
      <c r="AK11" s="16">
        <v>0.4</v>
      </c>
      <c r="AL11" s="29">
        <f t="shared" ref="AL11" si="3">AJ11*AK11+AJ12*AK12+AJ13*AK13</f>
        <v>100</v>
      </c>
      <c r="AM11" s="32">
        <f t="shared" ref="AM11" si="4">IF(AL11&gt;100,105%,IF(AL11&gt;=95,100%,IF(AL11&gt;=90,90%,IF(AL11&gt;=80,70%,IF(AL11&gt;=70,50%,0%)))))</f>
        <v>1</v>
      </c>
    </row>
    <row r="12" spans="1:39" ht="15.6" x14ac:dyDescent="0.3">
      <c r="A12" s="10"/>
      <c r="B12" s="13"/>
      <c r="C12" s="15" t="s">
        <v>53</v>
      </c>
      <c r="D12" s="27">
        <v>100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8">
        <f t="shared" si="0"/>
        <v>100</v>
      </c>
      <c r="AK12" s="16">
        <v>0.3</v>
      </c>
      <c r="AL12" s="30"/>
      <c r="AM12" s="33"/>
    </row>
    <row r="13" spans="1:39" ht="15.6" x14ac:dyDescent="0.3">
      <c r="A13" s="11"/>
      <c r="B13" s="14"/>
      <c r="C13" s="15" t="s">
        <v>4</v>
      </c>
      <c r="D13" s="27">
        <v>100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8">
        <f t="shared" si="0"/>
        <v>100</v>
      </c>
      <c r="AK13" s="16">
        <v>0.3</v>
      </c>
      <c r="AL13" s="31"/>
      <c r="AM13" s="34"/>
    </row>
    <row r="14" spans="1:39" ht="15.6" x14ac:dyDescent="0.3">
      <c r="A14" s="9">
        <v>1009</v>
      </c>
      <c r="B14" s="12" t="s">
        <v>62</v>
      </c>
      <c r="C14" s="15" t="s">
        <v>3</v>
      </c>
      <c r="D14" s="27">
        <v>100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8">
        <f t="shared" si="0"/>
        <v>100</v>
      </c>
      <c r="AK14" s="16">
        <v>0.4</v>
      </c>
      <c r="AL14" s="29">
        <f>AJ14*AK14+AJ15*AK15+AJ16*AK16</f>
        <v>100</v>
      </c>
      <c r="AM14" s="32">
        <f t="shared" ref="AM14" si="5">IF(AL14&gt;100,105%,IF(AL14&gt;=95,100%,IF(AL14&gt;=90,90%,IF(AL14&gt;=80,70%,IF(AL14&gt;=70,50%,0%)))))</f>
        <v>1</v>
      </c>
    </row>
    <row r="15" spans="1:39" ht="15.6" x14ac:dyDescent="0.3">
      <c r="A15" s="10"/>
      <c r="B15" s="13"/>
      <c r="C15" s="15" t="s">
        <v>53</v>
      </c>
      <c r="D15" s="27">
        <v>100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8">
        <f t="shared" si="0"/>
        <v>100</v>
      </c>
      <c r="AK15" s="16">
        <v>0.3</v>
      </c>
      <c r="AL15" s="30"/>
      <c r="AM15" s="33"/>
    </row>
    <row r="16" spans="1:39" ht="15.6" x14ac:dyDescent="0.3">
      <c r="A16" s="11"/>
      <c r="B16" s="14"/>
      <c r="C16" s="15" t="s">
        <v>4</v>
      </c>
      <c r="D16" s="27">
        <v>100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8">
        <f t="shared" si="0"/>
        <v>100</v>
      </c>
      <c r="AK16" s="16">
        <v>0.3</v>
      </c>
      <c r="AL16" s="31"/>
      <c r="AM16" s="34"/>
    </row>
    <row r="17" spans="1:39" ht="15.6" x14ac:dyDescent="0.3">
      <c r="A17" s="9">
        <v>1010</v>
      </c>
      <c r="B17" s="12" t="s">
        <v>63</v>
      </c>
      <c r="C17" s="15" t="s">
        <v>3</v>
      </c>
      <c r="D17" s="27">
        <v>100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8">
        <f t="shared" si="0"/>
        <v>100</v>
      </c>
      <c r="AK17" s="16">
        <v>0.4</v>
      </c>
      <c r="AL17" s="29">
        <f>AJ17*AK17+AJ18*AK18+AJ19*AK19</f>
        <v>100</v>
      </c>
      <c r="AM17" s="32">
        <f>IF(AL17&gt;100,105%,IF(AL17&gt;=95,100%,IF(AL17&gt;=90,90%,IF(AL17&gt;=80,70%,IF(AL17&gt;=70,50%,0%)))))</f>
        <v>1</v>
      </c>
    </row>
    <row r="18" spans="1:39" ht="15.6" x14ac:dyDescent="0.3">
      <c r="A18" s="10"/>
      <c r="B18" s="13"/>
      <c r="C18" s="15" t="s">
        <v>53</v>
      </c>
      <c r="D18" s="27">
        <v>100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8">
        <f t="shared" si="0"/>
        <v>100</v>
      </c>
      <c r="AK18" s="16">
        <v>0.3</v>
      </c>
      <c r="AL18" s="30"/>
      <c r="AM18" s="33"/>
    </row>
    <row r="19" spans="1:39" ht="15.6" x14ac:dyDescent="0.3">
      <c r="A19" s="11"/>
      <c r="B19" s="14"/>
      <c r="C19" s="15" t="s">
        <v>4</v>
      </c>
      <c r="D19" s="27">
        <v>100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8">
        <f t="shared" si="0"/>
        <v>100</v>
      </c>
      <c r="AK19" s="16">
        <v>0.3</v>
      </c>
      <c r="AL19" s="31"/>
      <c r="AM19" s="34"/>
    </row>
    <row r="20" spans="1:39" ht="15.6" x14ac:dyDescent="0.3">
      <c r="A20" s="9">
        <v>1011</v>
      </c>
      <c r="B20" s="12" t="s">
        <v>64</v>
      </c>
      <c r="C20" s="15" t="s">
        <v>3</v>
      </c>
      <c r="D20" s="27">
        <v>100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8">
        <f t="shared" si="0"/>
        <v>100</v>
      </c>
      <c r="AK20" s="16">
        <v>0.4</v>
      </c>
      <c r="AL20" s="29">
        <f>AJ20*AK20+AJ21*AK21+AJ22*AK22</f>
        <v>100</v>
      </c>
      <c r="AM20" s="32">
        <f t="shared" ref="AM20" si="6">IF(AL20&gt;100,105%,IF(AL20&gt;=95,100%,IF(AL20&gt;=90,90%,IF(AL20&gt;=80,70%,IF(AL20&gt;=70,50%,0%)))))</f>
        <v>1</v>
      </c>
    </row>
    <row r="21" spans="1:39" ht="15.6" x14ac:dyDescent="0.3">
      <c r="A21" s="10"/>
      <c r="B21" s="13"/>
      <c r="C21" s="15" t="s">
        <v>53</v>
      </c>
      <c r="D21" s="27">
        <v>100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8">
        <f t="shared" si="0"/>
        <v>100</v>
      </c>
      <c r="AK21" s="16">
        <v>0.3</v>
      </c>
      <c r="AL21" s="30"/>
      <c r="AM21" s="33"/>
    </row>
    <row r="22" spans="1:39" ht="15.6" x14ac:dyDescent="0.3">
      <c r="A22" s="11"/>
      <c r="B22" s="14"/>
      <c r="C22" s="15" t="s">
        <v>4</v>
      </c>
      <c r="D22" s="27">
        <v>100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8">
        <f t="shared" si="0"/>
        <v>100</v>
      </c>
      <c r="AK22" s="16">
        <v>0.3</v>
      </c>
      <c r="AL22" s="31"/>
      <c r="AM22" s="34"/>
    </row>
    <row r="23" spans="1:39" ht="15.6" x14ac:dyDescent="0.3">
      <c r="A23" s="3"/>
      <c r="B23" s="3"/>
      <c r="C23" s="3"/>
      <c r="D23" s="2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3"/>
      <c r="AK23" s="7"/>
      <c r="AL23" s="3"/>
      <c r="AM23" s="3"/>
    </row>
    <row r="24" spans="1:39" ht="15.6" x14ac:dyDescent="0.3">
      <c r="A24" s="3"/>
      <c r="B24" s="3" t="str">
        <f>'[1]Bảng lương LC'!D40</f>
        <v>TỔNG CỘNG</v>
      </c>
      <c r="C24" s="3"/>
      <c r="D24" s="2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3"/>
      <c r="AK24" s="7"/>
      <c r="AL24" s="3"/>
      <c r="AM24" s="3"/>
    </row>
    <row r="27" spans="1:39" x14ac:dyDescent="0.3">
      <c r="B27" s="35" t="s">
        <v>5</v>
      </c>
      <c r="AJ27" s="8"/>
      <c r="AL27" s="8"/>
    </row>
    <row r="28" spans="1:39" x14ac:dyDescent="0.3">
      <c r="B28" t="s">
        <v>6</v>
      </c>
      <c r="AJ28" s="8"/>
      <c r="AL28" s="8"/>
    </row>
    <row r="29" spans="1:39" x14ac:dyDescent="0.3">
      <c r="B29" s="37" t="s">
        <v>7</v>
      </c>
      <c r="C29" s="8" t="s">
        <v>8</v>
      </c>
      <c r="AJ29" s="8"/>
    </row>
    <row r="30" spans="1:39" x14ac:dyDescent="0.3">
      <c r="B30" s="37" t="s">
        <v>9</v>
      </c>
      <c r="C30" s="8" t="s">
        <v>10</v>
      </c>
      <c r="AJ30" s="8"/>
    </row>
    <row r="31" spans="1:39" x14ac:dyDescent="0.3">
      <c r="B31" s="37" t="s">
        <v>11</v>
      </c>
      <c r="C31" t="s">
        <v>12</v>
      </c>
      <c r="AJ31" s="8"/>
    </row>
    <row r="32" spans="1:39" x14ac:dyDescent="0.3">
      <c r="B32" s="37" t="s">
        <v>13</v>
      </c>
      <c r="C32" t="s">
        <v>14</v>
      </c>
      <c r="AJ32" s="8"/>
    </row>
    <row r="33" spans="2:39" x14ac:dyDescent="0.3">
      <c r="B33" s="37" t="s">
        <v>13</v>
      </c>
      <c r="C33" t="s">
        <v>15</v>
      </c>
      <c r="AJ33" s="8"/>
    </row>
    <row r="34" spans="2:39" x14ac:dyDescent="0.3">
      <c r="B34" s="37" t="s">
        <v>16</v>
      </c>
      <c r="C34" t="s">
        <v>17</v>
      </c>
      <c r="AJ34" s="8"/>
    </row>
    <row r="35" spans="2:39" x14ac:dyDescent="0.3">
      <c r="B35" s="37" t="s">
        <v>18</v>
      </c>
      <c r="C35" t="s">
        <v>19</v>
      </c>
    </row>
    <row r="36" spans="2:39" x14ac:dyDescent="0.3">
      <c r="B36" s="37" t="s">
        <v>20</v>
      </c>
      <c r="C36" t="s">
        <v>21</v>
      </c>
      <c r="AJ36" s="8"/>
    </row>
    <row r="37" spans="2:39" x14ac:dyDescent="0.3">
      <c r="B37" s="35" t="s">
        <v>22</v>
      </c>
      <c r="AJ37" s="8"/>
    </row>
    <row r="38" spans="2:39" x14ac:dyDescent="0.3">
      <c r="B38" s="8" t="s">
        <v>13</v>
      </c>
      <c r="C38" t="s">
        <v>23</v>
      </c>
      <c r="AJ38" s="8"/>
    </row>
    <row r="39" spans="2:39" s="2" customFormat="1" x14ac:dyDescent="0.3">
      <c r="B39" s="8" t="s">
        <v>9</v>
      </c>
      <c r="C39" t="s">
        <v>24</v>
      </c>
      <c r="D3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8"/>
      <c r="AK39" s="1"/>
      <c r="AL39"/>
      <c r="AM39"/>
    </row>
    <row r="40" spans="2:39" s="2" customFormat="1" x14ac:dyDescent="0.3">
      <c r="B40" s="8" t="s">
        <v>13</v>
      </c>
      <c r="C40" t="s">
        <v>25</v>
      </c>
      <c r="D40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8"/>
      <c r="AK40" s="1"/>
      <c r="AL40"/>
      <c r="AM40"/>
    </row>
    <row r="41" spans="2:39" x14ac:dyDescent="0.3">
      <c r="B41" s="8" t="s">
        <v>13</v>
      </c>
      <c r="C41" t="s">
        <v>26</v>
      </c>
    </row>
    <row r="42" spans="2:39" s="2" customFormat="1" x14ac:dyDescent="0.3">
      <c r="B42" s="8" t="s">
        <v>27</v>
      </c>
      <c r="C42" t="s">
        <v>28</v>
      </c>
      <c r="D4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8"/>
      <c r="AK42" s="1"/>
      <c r="AL42"/>
      <c r="AM42"/>
    </row>
    <row r="43" spans="2:39" s="2" customFormat="1" x14ac:dyDescent="0.3">
      <c r="B43" s="35" t="s">
        <v>4</v>
      </c>
      <c r="C43"/>
      <c r="D4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8"/>
      <c r="AK43" s="1"/>
      <c r="AL43"/>
      <c r="AM43"/>
    </row>
    <row r="44" spans="2:39" s="2" customFormat="1" x14ac:dyDescent="0.3">
      <c r="B44" s="8" t="s">
        <v>11</v>
      </c>
      <c r="C44" t="s">
        <v>29</v>
      </c>
      <c r="D4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8"/>
      <c r="AK44" s="1"/>
      <c r="AL44"/>
      <c r="AM44"/>
    </row>
    <row r="45" spans="2:39" s="2" customFormat="1" x14ac:dyDescent="0.3">
      <c r="B45" s="8" t="s">
        <v>30</v>
      </c>
      <c r="C45" t="s">
        <v>31</v>
      </c>
      <c r="D4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8"/>
      <c r="AK45" s="1"/>
      <c r="AL45"/>
      <c r="AM45"/>
    </row>
    <row r="46" spans="2:39" x14ac:dyDescent="0.3">
      <c r="B46" s="8" t="s">
        <v>11</v>
      </c>
      <c r="C46" t="s">
        <v>32</v>
      </c>
    </row>
    <row r="47" spans="2:39" s="2" customFormat="1" x14ac:dyDescent="0.3">
      <c r="B47" s="8" t="s">
        <v>13</v>
      </c>
      <c r="C47" t="s">
        <v>33</v>
      </c>
      <c r="D4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/>
      <c r="AK47" s="1"/>
      <c r="AL47"/>
      <c r="AM47"/>
    </row>
    <row r="48" spans="2:39" s="2" customFormat="1" x14ac:dyDescent="0.3">
      <c r="B48" s="8"/>
      <c r="C48"/>
      <c r="D4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/>
      <c r="AK48" s="1"/>
      <c r="AL48"/>
      <c r="AM48"/>
    </row>
    <row r="49" spans="2:39" s="2" customFormat="1" x14ac:dyDescent="0.3">
      <c r="B49" s="35" t="s">
        <v>34</v>
      </c>
      <c r="C49"/>
      <c r="D4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/>
      <c r="AK49" s="1"/>
      <c r="AL49"/>
      <c r="AM49" s="8"/>
    </row>
    <row r="50" spans="2:39" s="2" customFormat="1" x14ac:dyDescent="0.3">
      <c r="B50" t="s">
        <v>35</v>
      </c>
      <c r="C50"/>
      <c r="D50" s="8" t="s">
        <v>36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/>
      <c r="AK50" s="1"/>
      <c r="AL50"/>
      <c r="AM50"/>
    </row>
    <row r="51" spans="2:39" x14ac:dyDescent="0.3">
      <c r="B51" s="36" t="s">
        <v>37</v>
      </c>
    </row>
    <row r="52" spans="2:39" s="2" customFormat="1" x14ac:dyDescent="0.3">
      <c r="B52"/>
      <c r="C52"/>
      <c r="D5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/>
      <c r="AK52" s="1"/>
      <c r="AL52"/>
      <c r="AM52" s="8"/>
    </row>
    <row r="53" spans="2:39" s="2" customFormat="1" x14ac:dyDescent="0.3">
      <c r="B53" t="s">
        <v>38</v>
      </c>
      <c r="C53"/>
      <c r="D53" s="8" t="s">
        <v>36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/>
      <c r="AK53" s="1"/>
      <c r="AL53"/>
      <c r="AM53"/>
    </row>
    <row r="54" spans="2:39" x14ac:dyDescent="0.3">
      <c r="B54" s="1" t="s">
        <v>39</v>
      </c>
    </row>
    <row r="55" spans="2:39" s="2" customFormat="1" x14ac:dyDescent="0.3">
      <c r="B55"/>
      <c r="C55"/>
      <c r="D5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/>
      <c r="AK55" s="1"/>
      <c r="AL55"/>
      <c r="AM55" s="8"/>
    </row>
    <row r="56" spans="2:39" x14ac:dyDescent="0.3">
      <c r="B56" t="s">
        <v>40</v>
      </c>
      <c r="D56" s="8" t="s">
        <v>36</v>
      </c>
    </row>
    <row r="57" spans="2:39" x14ac:dyDescent="0.3">
      <c r="B57" s="1" t="s">
        <v>41</v>
      </c>
    </row>
    <row r="59" spans="2:39" x14ac:dyDescent="0.3">
      <c r="B59" t="s">
        <v>42</v>
      </c>
    </row>
    <row r="61" spans="2:39" ht="15.6" x14ac:dyDescent="0.3">
      <c r="B61" s="41" t="s">
        <v>43</v>
      </c>
      <c r="C61" s="40" t="s">
        <v>44</v>
      </c>
    </row>
    <row r="62" spans="2:39" ht="15.6" x14ac:dyDescent="0.3">
      <c r="B62" s="42" t="s">
        <v>45</v>
      </c>
      <c r="C62" s="38">
        <v>1.05</v>
      </c>
    </row>
    <row r="63" spans="2:39" ht="15.6" x14ac:dyDescent="0.3">
      <c r="B63" s="42" t="s">
        <v>46</v>
      </c>
      <c r="C63" s="38">
        <v>1</v>
      </c>
    </row>
    <row r="64" spans="2:39" ht="15.6" x14ac:dyDescent="0.3">
      <c r="B64" s="42" t="s">
        <v>47</v>
      </c>
      <c r="C64" s="38">
        <v>0.9</v>
      </c>
    </row>
    <row r="65" spans="2:3" ht="15.6" x14ac:dyDescent="0.3">
      <c r="B65" s="42" t="s">
        <v>48</v>
      </c>
      <c r="C65" s="38">
        <v>0.7</v>
      </c>
    </row>
    <row r="66" spans="2:3" ht="15.6" x14ac:dyDescent="0.3">
      <c r="B66" s="42" t="s">
        <v>49</v>
      </c>
      <c r="C66" s="38">
        <v>0.5</v>
      </c>
    </row>
    <row r="67" spans="2:3" ht="15.6" x14ac:dyDescent="0.3">
      <c r="B67" s="42" t="s">
        <v>50</v>
      </c>
      <c r="C67" s="39">
        <v>0</v>
      </c>
    </row>
  </sheetData>
  <mergeCells count="26">
    <mergeCell ref="A17:A19"/>
    <mergeCell ref="B17:B19"/>
    <mergeCell ref="AL17:AL19"/>
    <mergeCell ref="AM17:AM19"/>
    <mergeCell ref="A20:A22"/>
    <mergeCell ref="B20:B22"/>
    <mergeCell ref="AL20:AL22"/>
    <mergeCell ref="AM20:AM22"/>
    <mergeCell ref="A11:A13"/>
    <mergeCell ref="B11:B13"/>
    <mergeCell ref="AL11:AL13"/>
    <mergeCell ref="AM11:AM13"/>
    <mergeCell ref="A14:A16"/>
    <mergeCell ref="B14:B16"/>
    <mergeCell ref="AL14:AL16"/>
    <mergeCell ref="AM14:AM16"/>
    <mergeCell ref="A8:A10"/>
    <mergeCell ref="B8:B10"/>
    <mergeCell ref="AL8:AL10"/>
    <mergeCell ref="AM8:AM10"/>
    <mergeCell ref="A1:AM1"/>
    <mergeCell ref="E3:AI3"/>
    <mergeCell ref="A5:A7"/>
    <mergeCell ref="B5:B7"/>
    <mergeCell ref="AL5:AL7"/>
    <mergeCell ref="AM5:AM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DCEE2-4030-450E-9007-C82135CBD752}">
  <dimension ref="A1:AM91"/>
  <sheetViews>
    <sheetView topLeftCell="A40" workbookViewId="0">
      <selection activeCell="N38" sqref="N38"/>
    </sheetView>
  </sheetViews>
  <sheetFormatPr defaultColWidth="10.77734375" defaultRowHeight="14.4" x14ac:dyDescent="0.3"/>
  <cols>
    <col min="1" max="1" width="7.6640625" customWidth="1"/>
    <col min="2" max="2" width="29.6640625" customWidth="1"/>
    <col min="3" max="3" width="30.21875" customWidth="1"/>
    <col min="4" max="4" width="12.77734375" customWidth="1"/>
    <col min="5" max="35" width="5.33203125" style="1" customWidth="1"/>
    <col min="36" max="36" width="14.6640625" customWidth="1"/>
    <col min="37" max="37" width="10.44140625" style="1" customWidth="1"/>
    <col min="38" max="38" width="13.109375" customWidth="1"/>
    <col min="39" max="39" width="16.21875" customWidth="1"/>
  </cols>
  <sheetData>
    <row r="1" spans="1:39" ht="33.6" customHeight="1" x14ac:dyDescent="0.5">
      <c r="A1" s="43" t="s">
        <v>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</row>
    <row r="3" spans="1:39" ht="15.6" customHeight="1" x14ac:dyDescent="0.3">
      <c r="A3" s="3" t="s">
        <v>52</v>
      </c>
      <c r="B3" s="4" t="s">
        <v>0</v>
      </c>
      <c r="C3" s="4" t="s">
        <v>51</v>
      </c>
      <c r="D3" s="25" t="s">
        <v>88</v>
      </c>
      <c r="E3" s="18" t="s">
        <v>86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20"/>
      <c r="AJ3" s="24" t="s">
        <v>87</v>
      </c>
      <c r="AK3" s="17" t="s">
        <v>54</v>
      </c>
      <c r="AL3" s="21" t="s">
        <v>1</v>
      </c>
      <c r="AM3" s="22" t="s">
        <v>2</v>
      </c>
    </row>
    <row r="4" spans="1:39" x14ac:dyDescent="0.3">
      <c r="A4" s="3"/>
      <c r="B4" s="3"/>
      <c r="C4" s="3"/>
      <c r="D4" s="3"/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  <c r="O4" s="5">
        <v>11</v>
      </c>
      <c r="P4" s="5">
        <v>12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18</v>
      </c>
      <c r="W4" s="5">
        <v>19</v>
      </c>
      <c r="X4" s="5">
        <v>20</v>
      </c>
      <c r="Y4" s="5">
        <v>21</v>
      </c>
      <c r="Z4" s="5">
        <v>22</v>
      </c>
      <c r="AA4" s="5">
        <v>23</v>
      </c>
      <c r="AB4" s="5">
        <v>24</v>
      </c>
      <c r="AC4" s="5">
        <v>25</v>
      </c>
      <c r="AD4" s="5">
        <v>26</v>
      </c>
      <c r="AE4" s="5">
        <v>27</v>
      </c>
      <c r="AF4" s="5">
        <v>28</v>
      </c>
      <c r="AG4" s="5">
        <v>29</v>
      </c>
      <c r="AH4" s="5">
        <v>30</v>
      </c>
      <c r="AI4" s="5">
        <v>31</v>
      </c>
      <c r="AJ4" s="6"/>
      <c r="AK4" s="5"/>
      <c r="AL4" s="6"/>
      <c r="AM4" s="6"/>
    </row>
    <row r="5" spans="1:39" ht="15.6" x14ac:dyDescent="0.3">
      <c r="A5" s="9">
        <v>1012</v>
      </c>
      <c r="B5" s="12" t="s">
        <v>65</v>
      </c>
      <c r="C5" s="15" t="s">
        <v>3</v>
      </c>
      <c r="D5" s="27">
        <v>100</v>
      </c>
      <c r="E5" s="23">
        <v>0</v>
      </c>
      <c r="F5" s="23">
        <v>1</v>
      </c>
      <c r="G5" s="23">
        <v>2</v>
      </c>
      <c r="H5" s="23"/>
      <c r="I5" s="23">
        <v>-10</v>
      </c>
      <c r="J5" s="23">
        <v>-2</v>
      </c>
      <c r="K5" s="23">
        <v>1</v>
      </c>
      <c r="L5" s="23"/>
      <c r="M5" s="23">
        <v>-4</v>
      </c>
      <c r="N5" s="23"/>
      <c r="O5" s="23"/>
      <c r="P5" s="23"/>
      <c r="Q5" s="23"/>
      <c r="R5" s="23">
        <v>5</v>
      </c>
      <c r="S5" s="23"/>
      <c r="T5" s="23"/>
      <c r="U5" s="23"/>
      <c r="V5" s="23"/>
      <c r="W5" s="23">
        <v>-2</v>
      </c>
      <c r="X5" s="23"/>
      <c r="Y5" s="23"/>
      <c r="Z5" s="23"/>
      <c r="AA5" s="23">
        <v>5</v>
      </c>
      <c r="AB5" s="23"/>
      <c r="AC5" s="23"/>
      <c r="AD5" s="23"/>
      <c r="AE5" s="23"/>
      <c r="AF5" s="23"/>
      <c r="AG5" s="23"/>
      <c r="AH5" s="23"/>
      <c r="AI5" s="23"/>
      <c r="AJ5" s="28">
        <f>SUM(E5:AI5)+D5</f>
        <v>96</v>
      </c>
      <c r="AK5" s="16">
        <v>0.4</v>
      </c>
      <c r="AL5" s="29">
        <f>AJ5*AK5+AJ6*AK6+AJ7*AK7</f>
        <v>93.600000000000009</v>
      </c>
      <c r="AM5" s="32">
        <f>IF(AL5&gt;100,105%,IF(AL5&gt;=95,100%,IF(AL5&gt;=90,90%,IF(AL5&gt;=80,70%,IF(AL5&gt;=70,50%,0%)))))</f>
        <v>0.9</v>
      </c>
    </row>
    <row r="6" spans="1:39" ht="15.6" x14ac:dyDescent="0.3">
      <c r="A6" s="10"/>
      <c r="B6" s="13"/>
      <c r="C6" s="15" t="s">
        <v>53</v>
      </c>
      <c r="D6" s="27">
        <v>100</v>
      </c>
      <c r="E6" s="23"/>
      <c r="F6" s="23"/>
      <c r="G6" s="23"/>
      <c r="H6" s="23">
        <v>-1</v>
      </c>
      <c r="I6" s="23"/>
      <c r="J6" s="23"/>
      <c r="K6" s="23"/>
      <c r="L6" s="23"/>
      <c r="M6" s="23"/>
      <c r="N6" s="23">
        <v>1</v>
      </c>
      <c r="O6" s="23"/>
      <c r="P6" s="23"/>
      <c r="Q6" s="23"/>
      <c r="R6" s="23"/>
      <c r="S6" s="23"/>
      <c r="T6" s="23"/>
      <c r="U6" s="23">
        <v>3</v>
      </c>
      <c r="V6" s="23"/>
      <c r="W6" s="23"/>
      <c r="X6" s="23"/>
      <c r="Y6" s="23"/>
      <c r="Z6" s="23"/>
      <c r="AA6" s="23"/>
      <c r="AB6" s="23"/>
      <c r="AC6" s="23"/>
      <c r="AD6" s="23">
        <v>-10</v>
      </c>
      <c r="AE6" s="23"/>
      <c r="AF6" s="23"/>
      <c r="AG6" s="23"/>
      <c r="AH6" s="23"/>
      <c r="AI6" s="23"/>
      <c r="AJ6" s="28">
        <f t="shared" ref="AJ6:AJ34" si="0">SUM(E6:AI6)+D6</f>
        <v>93</v>
      </c>
      <c r="AK6" s="16">
        <v>0.3</v>
      </c>
      <c r="AL6" s="30"/>
      <c r="AM6" s="33"/>
    </row>
    <row r="7" spans="1:39" ht="15.6" x14ac:dyDescent="0.3">
      <c r="A7" s="11"/>
      <c r="B7" s="14"/>
      <c r="C7" s="15" t="s">
        <v>4</v>
      </c>
      <c r="D7" s="27">
        <v>100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>
        <v>-5</v>
      </c>
      <c r="U7" s="23"/>
      <c r="V7" s="23"/>
      <c r="W7" s="23"/>
      <c r="X7" s="23"/>
      <c r="Y7" s="23"/>
      <c r="Z7" s="23">
        <v>2</v>
      </c>
      <c r="AA7" s="23"/>
      <c r="AB7" s="23"/>
      <c r="AC7" s="23"/>
      <c r="AD7" s="23"/>
      <c r="AE7" s="23"/>
      <c r="AF7" s="23">
        <v>-6</v>
      </c>
      <c r="AG7" s="23"/>
      <c r="AH7" s="23"/>
      <c r="AI7" s="23"/>
      <c r="AJ7" s="28">
        <f t="shared" si="0"/>
        <v>91</v>
      </c>
      <c r="AK7" s="16">
        <v>0.3</v>
      </c>
      <c r="AL7" s="31"/>
      <c r="AM7" s="34"/>
    </row>
    <row r="8" spans="1:39" ht="15.6" x14ac:dyDescent="0.3">
      <c r="A8" s="9">
        <v>1013</v>
      </c>
      <c r="B8" s="12" t="s">
        <v>66</v>
      </c>
      <c r="C8" s="15" t="s">
        <v>3</v>
      </c>
      <c r="D8" s="27">
        <v>100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8">
        <f t="shared" si="0"/>
        <v>100</v>
      </c>
      <c r="AK8" s="16">
        <v>0.4</v>
      </c>
      <c r="AL8" s="29">
        <f>AJ8*AK8+AJ9*AK9+AJ10*AK10</f>
        <v>100</v>
      </c>
      <c r="AM8" s="32">
        <f t="shared" ref="AM8" si="1">IF(AL8&gt;100,105%,IF(AL8&gt;=95,100%,IF(AL8&gt;=90,90%,IF(AL8&gt;=80,70%,IF(AL8&gt;=70,50%,0%)))))</f>
        <v>1</v>
      </c>
    </row>
    <row r="9" spans="1:39" ht="15.6" x14ac:dyDescent="0.3">
      <c r="A9" s="10"/>
      <c r="B9" s="13"/>
      <c r="C9" s="15" t="s">
        <v>53</v>
      </c>
      <c r="D9" s="27">
        <v>100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8">
        <f t="shared" si="0"/>
        <v>100</v>
      </c>
      <c r="AK9" s="16">
        <v>0.3</v>
      </c>
      <c r="AL9" s="30"/>
      <c r="AM9" s="33"/>
    </row>
    <row r="10" spans="1:39" ht="15.6" x14ac:dyDescent="0.3">
      <c r="A10" s="11"/>
      <c r="B10" s="14"/>
      <c r="C10" s="15" t="s">
        <v>4</v>
      </c>
      <c r="D10" s="27">
        <v>100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8">
        <f t="shared" si="0"/>
        <v>100</v>
      </c>
      <c r="AK10" s="16">
        <v>0.3</v>
      </c>
      <c r="AL10" s="31"/>
      <c r="AM10" s="34"/>
    </row>
    <row r="11" spans="1:39" ht="15.6" x14ac:dyDescent="0.3">
      <c r="A11" s="9">
        <v>1014</v>
      </c>
      <c r="B11" s="12" t="s">
        <v>67</v>
      </c>
      <c r="C11" s="15" t="s">
        <v>3</v>
      </c>
      <c r="D11" s="27">
        <v>100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8">
        <f t="shared" si="0"/>
        <v>100</v>
      </c>
      <c r="AK11" s="16">
        <v>0.4</v>
      </c>
      <c r="AL11" s="29">
        <f>AJ11*AK11+AJ12*AK12+AJ13*AK13</f>
        <v>100</v>
      </c>
      <c r="AM11" s="32">
        <f t="shared" ref="AM11" si="2">IF(AL11&gt;100,105%,IF(AL11&gt;=95,100%,IF(AL11&gt;=90,90%,IF(AL11&gt;=80,70%,IF(AL11&gt;=70,50%,0%)))))</f>
        <v>1</v>
      </c>
    </row>
    <row r="12" spans="1:39" ht="15.6" x14ac:dyDescent="0.3">
      <c r="A12" s="10"/>
      <c r="B12" s="13"/>
      <c r="C12" s="15" t="s">
        <v>53</v>
      </c>
      <c r="D12" s="27">
        <v>100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8">
        <f t="shared" si="0"/>
        <v>100</v>
      </c>
      <c r="AK12" s="16">
        <v>0.3</v>
      </c>
      <c r="AL12" s="30"/>
      <c r="AM12" s="33"/>
    </row>
    <row r="13" spans="1:39" ht="15.6" x14ac:dyDescent="0.3">
      <c r="A13" s="11"/>
      <c r="B13" s="14"/>
      <c r="C13" s="15" t="s">
        <v>4</v>
      </c>
      <c r="D13" s="27">
        <v>100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8">
        <f t="shared" si="0"/>
        <v>100</v>
      </c>
      <c r="AK13" s="16">
        <v>0.3</v>
      </c>
      <c r="AL13" s="31"/>
      <c r="AM13" s="34"/>
    </row>
    <row r="14" spans="1:39" ht="15.6" x14ac:dyDescent="0.3">
      <c r="A14" s="9">
        <v>1015</v>
      </c>
      <c r="B14" s="12" t="s">
        <v>68</v>
      </c>
      <c r="C14" s="15" t="s">
        <v>3</v>
      </c>
      <c r="D14" s="27">
        <v>100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8">
        <f t="shared" si="0"/>
        <v>100</v>
      </c>
      <c r="AK14" s="16">
        <v>0.4</v>
      </c>
      <c r="AL14" s="29">
        <f>AJ14*AK14+AJ15*AK15+AJ16*AK16</f>
        <v>100</v>
      </c>
      <c r="AM14" s="32">
        <f t="shared" ref="AM14" si="3">IF(AL14&gt;100,105%,IF(AL14&gt;=95,100%,IF(AL14&gt;=90,90%,IF(AL14&gt;=80,70%,IF(AL14&gt;=70,50%,0%)))))</f>
        <v>1</v>
      </c>
    </row>
    <row r="15" spans="1:39" ht="15.6" x14ac:dyDescent="0.3">
      <c r="A15" s="10"/>
      <c r="B15" s="13"/>
      <c r="C15" s="15" t="s">
        <v>53</v>
      </c>
      <c r="D15" s="27">
        <v>100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8">
        <f t="shared" si="0"/>
        <v>100</v>
      </c>
      <c r="AK15" s="16">
        <v>0.3</v>
      </c>
      <c r="AL15" s="30"/>
      <c r="AM15" s="33"/>
    </row>
    <row r="16" spans="1:39" ht="15.6" x14ac:dyDescent="0.3">
      <c r="A16" s="11"/>
      <c r="B16" s="14"/>
      <c r="C16" s="15" t="s">
        <v>4</v>
      </c>
      <c r="D16" s="27">
        <v>100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8">
        <f t="shared" si="0"/>
        <v>100</v>
      </c>
      <c r="AK16" s="16">
        <v>0.3</v>
      </c>
      <c r="AL16" s="31"/>
      <c r="AM16" s="34"/>
    </row>
    <row r="17" spans="1:39" ht="15.6" x14ac:dyDescent="0.3">
      <c r="A17" s="9">
        <v>1016</v>
      </c>
      <c r="B17" s="12" t="s">
        <v>69</v>
      </c>
      <c r="C17" s="15" t="s">
        <v>3</v>
      </c>
      <c r="D17" s="27">
        <v>100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8">
        <f t="shared" si="0"/>
        <v>100</v>
      </c>
      <c r="AK17" s="16">
        <v>0.4</v>
      </c>
      <c r="AL17" s="29">
        <f t="shared" ref="AL17" si="4">AJ17*AK17+AJ18*AK18+AJ19*AK19</f>
        <v>100</v>
      </c>
      <c r="AM17" s="32">
        <f t="shared" ref="AM17" si="5">IF(AL17&gt;100,105%,IF(AL17&gt;=95,100%,IF(AL17&gt;=90,90%,IF(AL17&gt;=80,70%,IF(AL17&gt;=70,50%,0%)))))</f>
        <v>1</v>
      </c>
    </row>
    <row r="18" spans="1:39" ht="15.6" x14ac:dyDescent="0.3">
      <c r="A18" s="10"/>
      <c r="B18" s="13"/>
      <c r="C18" s="15" t="s">
        <v>53</v>
      </c>
      <c r="D18" s="27">
        <v>100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8">
        <f t="shared" si="0"/>
        <v>100</v>
      </c>
      <c r="AK18" s="16">
        <v>0.3</v>
      </c>
      <c r="AL18" s="30"/>
      <c r="AM18" s="33"/>
    </row>
    <row r="19" spans="1:39" ht="15.6" x14ac:dyDescent="0.3">
      <c r="A19" s="11"/>
      <c r="B19" s="14"/>
      <c r="C19" s="15" t="s">
        <v>4</v>
      </c>
      <c r="D19" s="27">
        <v>100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8">
        <f t="shared" si="0"/>
        <v>100</v>
      </c>
      <c r="AK19" s="16">
        <v>0.3</v>
      </c>
      <c r="AL19" s="31"/>
      <c r="AM19" s="34"/>
    </row>
    <row r="20" spans="1:39" ht="15.6" x14ac:dyDescent="0.3">
      <c r="A20" s="9">
        <v>1017</v>
      </c>
      <c r="B20" s="12" t="s">
        <v>70</v>
      </c>
      <c r="C20" s="15" t="s">
        <v>3</v>
      </c>
      <c r="D20" s="27">
        <v>100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8">
        <f t="shared" si="0"/>
        <v>100</v>
      </c>
      <c r="AK20" s="16">
        <v>0.4</v>
      </c>
      <c r="AL20" s="29">
        <f t="shared" ref="AL20" si="6">AJ20*AK20+AJ21*AK21+AJ22*AK22</f>
        <v>100</v>
      </c>
      <c r="AM20" s="32">
        <f t="shared" ref="AM20" si="7">IF(AL20&gt;100,105%,IF(AL20&gt;=95,100%,IF(AL20&gt;=90,90%,IF(AL20&gt;=80,70%,IF(AL20&gt;=70,50%,0%)))))</f>
        <v>1</v>
      </c>
    </row>
    <row r="21" spans="1:39" ht="15.6" x14ac:dyDescent="0.3">
      <c r="A21" s="10"/>
      <c r="B21" s="13"/>
      <c r="C21" s="15" t="s">
        <v>53</v>
      </c>
      <c r="D21" s="27">
        <v>100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8">
        <f t="shared" si="0"/>
        <v>100</v>
      </c>
      <c r="AK21" s="16">
        <v>0.3</v>
      </c>
      <c r="AL21" s="30"/>
      <c r="AM21" s="33"/>
    </row>
    <row r="22" spans="1:39" ht="15.6" x14ac:dyDescent="0.3">
      <c r="A22" s="11"/>
      <c r="B22" s="14"/>
      <c r="C22" s="15" t="s">
        <v>4</v>
      </c>
      <c r="D22" s="27">
        <v>100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8">
        <f t="shared" si="0"/>
        <v>100</v>
      </c>
      <c r="AK22" s="16">
        <v>0.3</v>
      </c>
      <c r="AL22" s="31"/>
      <c r="AM22" s="34"/>
    </row>
    <row r="23" spans="1:39" ht="15.6" x14ac:dyDescent="0.3">
      <c r="A23" s="9">
        <v>1018</v>
      </c>
      <c r="B23" s="12" t="s">
        <v>71</v>
      </c>
      <c r="C23" s="15" t="s">
        <v>3</v>
      </c>
      <c r="D23" s="27">
        <v>100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8">
        <f t="shared" si="0"/>
        <v>100</v>
      </c>
      <c r="AK23" s="16">
        <v>0.4</v>
      </c>
      <c r="AL23" s="29">
        <f>AJ23*AK23+AJ24*AK24+AJ25*AK25</f>
        <v>100</v>
      </c>
      <c r="AM23" s="32">
        <f t="shared" ref="AM23" si="8">IF(AL23&gt;100,105%,IF(AL23&gt;=95,100%,IF(AL23&gt;=90,90%,IF(AL23&gt;=80,70%,IF(AL23&gt;=70,50%,0%)))))</f>
        <v>1</v>
      </c>
    </row>
    <row r="24" spans="1:39" ht="15.6" x14ac:dyDescent="0.3">
      <c r="A24" s="10"/>
      <c r="B24" s="13"/>
      <c r="C24" s="15" t="s">
        <v>53</v>
      </c>
      <c r="D24" s="27">
        <v>100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8">
        <f t="shared" si="0"/>
        <v>100</v>
      </c>
      <c r="AK24" s="16">
        <v>0.3</v>
      </c>
      <c r="AL24" s="30"/>
      <c r="AM24" s="33"/>
    </row>
    <row r="25" spans="1:39" ht="15.6" x14ac:dyDescent="0.3">
      <c r="A25" s="11"/>
      <c r="B25" s="14"/>
      <c r="C25" s="15" t="s">
        <v>4</v>
      </c>
      <c r="D25" s="27">
        <v>100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8">
        <f t="shared" si="0"/>
        <v>100</v>
      </c>
      <c r="AK25" s="16">
        <v>0.3</v>
      </c>
      <c r="AL25" s="31"/>
      <c r="AM25" s="34"/>
    </row>
    <row r="26" spans="1:39" ht="15.6" x14ac:dyDescent="0.3">
      <c r="A26" s="9">
        <v>1019</v>
      </c>
      <c r="B26" s="12" t="s">
        <v>72</v>
      </c>
      <c r="C26" s="15" t="s">
        <v>3</v>
      </c>
      <c r="D26" s="27">
        <v>100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8">
        <f t="shared" si="0"/>
        <v>100</v>
      </c>
      <c r="AK26" s="16">
        <v>0.4</v>
      </c>
      <c r="AL26" s="29">
        <f>AJ26*AK26+AJ27*AK27+AJ28*AK28</f>
        <v>100</v>
      </c>
      <c r="AM26" s="32">
        <f>IF(AL26&gt;100,105%,IF(AL26&gt;=95,100%,IF(AL26&gt;=90,90%,IF(AL26&gt;=80,70%,IF(AL26&gt;=70,50%,0%)))))</f>
        <v>1</v>
      </c>
    </row>
    <row r="27" spans="1:39" ht="15.6" x14ac:dyDescent="0.3">
      <c r="A27" s="10"/>
      <c r="B27" s="13"/>
      <c r="C27" s="15" t="s">
        <v>53</v>
      </c>
      <c r="D27" s="27">
        <v>100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8">
        <f t="shared" si="0"/>
        <v>100</v>
      </c>
      <c r="AK27" s="16">
        <v>0.3</v>
      </c>
      <c r="AL27" s="30"/>
      <c r="AM27" s="33"/>
    </row>
    <row r="28" spans="1:39" ht="15.6" x14ac:dyDescent="0.3">
      <c r="A28" s="11"/>
      <c r="B28" s="14"/>
      <c r="C28" s="15" t="s">
        <v>4</v>
      </c>
      <c r="D28" s="27">
        <v>100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8">
        <f t="shared" si="0"/>
        <v>100</v>
      </c>
      <c r="AK28" s="16">
        <v>0.3</v>
      </c>
      <c r="AL28" s="31"/>
      <c r="AM28" s="34"/>
    </row>
    <row r="29" spans="1:39" ht="14.4" customHeight="1" x14ac:dyDescent="0.3">
      <c r="A29" s="9">
        <v>1020</v>
      </c>
      <c r="B29" s="12" t="s">
        <v>73</v>
      </c>
      <c r="C29" s="15" t="s">
        <v>3</v>
      </c>
      <c r="D29" s="27">
        <v>100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8">
        <f t="shared" si="0"/>
        <v>100</v>
      </c>
      <c r="AK29" s="16">
        <v>0.4</v>
      </c>
      <c r="AL29" s="29">
        <f>AJ29*AK29+AJ30*AK30+AJ31*AK31</f>
        <v>100</v>
      </c>
      <c r="AM29" s="32">
        <f t="shared" ref="AM29" si="9">IF(AL29&gt;100,105%,IF(AL29&gt;=95,100%,IF(AL29&gt;=90,90%,IF(AL29&gt;=80,70%,IF(AL29&gt;=70,50%,0%)))))</f>
        <v>1</v>
      </c>
    </row>
    <row r="30" spans="1:39" ht="15.6" x14ac:dyDescent="0.3">
      <c r="A30" s="10"/>
      <c r="B30" s="13"/>
      <c r="C30" s="15" t="s">
        <v>53</v>
      </c>
      <c r="D30" s="27">
        <v>100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8">
        <f t="shared" si="0"/>
        <v>100</v>
      </c>
      <c r="AK30" s="16">
        <v>0.3</v>
      </c>
      <c r="AL30" s="30"/>
      <c r="AM30" s="33"/>
    </row>
    <row r="31" spans="1:39" ht="15.6" x14ac:dyDescent="0.3">
      <c r="A31" s="11"/>
      <c r="B31" s="14"/>
      <c r="C31" s="15" t="s">
        <v>4</v>
      </c>
      <c r="D31" s="27">
        <v>100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8">
        <f t="shared" si="0"/>
        <v>100</v>
      </c>
      <c r="AK31" s="16">
        <v>0.3</v>
      </c>
      <c r="AL31" s="31"/>
      <c r="AM31" s="34"/>
    </row>
    <row r="32" spans="1:39" ht="15.6" x14ac:dyDescent="0.3">
      <c r="A32" s="9">
        <v>1021</v>
      </c>
      <c r="B32" s="12" t="s">
        <v>74</v>
      </c>
      <c r="C32" s="15" t="s">
        <v>3</v>
      </c>
      <c r="D32" s="27">
        <v>100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8">
        <f t="shared" si="0"/>
        <v>100</v>
      </c>
      <c r="AK32" s="16">
        <v>0.4</v>
      </c>
      <c r="AL32" s="29">
        <f>AJ32*AK32+AJ33*AK33+AJ34*AK34</f>
        <v>100</v>
      </c>
      <c r="AM32" s="32">
        <f t="shared" ref="AM32" si="10">IF(AL32&gt;100,105%,IF(AL32&gt;=95,100%,IF(AL32&gt;=90,90%,IF(AL32&gt;=80,70%,IF(AL32&gt;=70,50%,0%)))))</f>
        <v>1</v>
      </c>
    </row>
    <row r="33" spans="1:39" ht="15.6" x14ac:dyDescent="0.3">
      <c r="A33" s="10"/>
      <c r="B33" s="13"/>
      <c r="C33" s="15" t="s">
        <v>53</v>
      </c>
      <c r="D33" s="27">
        <v>100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8">
        <f t="shared" si="0"/>
        <v>100</v>
      </c>
      <c r="AK33" s="16">
        <v>0.3</v>
      </c>
      <c r="AL33" s="30"/>
      <c r="AM33" s="33"/>
    </row>
    <row r="34" spans="1:39" ht="15.6" x14ac:dyDescent="0.3">
      <c r="A34" s="11"/>
      <c r="B34" s="14"/>
      <c r="C34" s="15" t="s">
        <v>4</v>
      </c>
      <c r="D34" s="27">
        <v>100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8">
        <f t="shared" si="0"/>
        <v>100</v>
      </c>
      <c r="AK34" s="16">
        <v>0.3</v>
      </c>
      <c r="AL34" s="31"/>
      <c r="AM34" s="34"/>
    </row>
    <row r="35" spans="1:39" ht="15.6" x14ac:dyDescent="0.3">
      <c r="A35" s="9">
        <v>1022</v>
      </c>
      <c r="B35" s="12" t="s">
        <v>75</v>
      </c>
      <c r="C35" s="15" t="s">
        <v>3</v>
      </c>
      <c r="D35" s="27">
        <v>100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8">
        <f t="shared" ref="AJ35:AJ46" si="11">SUM(E35:AI35)+D35</f>
        <v>100</v>
      </c>
      <c r="AK35" s="16">
        <v>0.4</v>
      </c>
      <c r="AL35" s="29">
        <f>AJ35*AK35+AJ36*AK36+AJ37*AK37</f>
        <v>100</v>
      </c>
      <c r="AM35" s="32">
        <f t="shared" ref="AM35" si="12">IF(AL35&gt;100,105%,IF(AL35&gt;=95,100%,IF(AL35&gt;=90,90%,IF(AL35&gt;=80,70%,IF(AL35&gt;=70,50%,0%)))))</f>
        <v>1</v>
      </c>
    </row>
    <row r="36" spans="1:39" ht="15.6" x14ac:dyDescent="0.3">
      <c r="A36" s="10"/>
      <c r="B36" s="13"/>
      <c r="C36" s="15" t="s">
        <v>53</v>
      </c>
      <c r="D36" s="27">
        <v>100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8">
        <f t="shared" si="11"/>
        <v>100</v>
      </c>
      <c r="AK36" s="16">
        <v>0.3</v>
      </c>
      <c r="AL36" s="30"/>
      <c r="AM36" s="33"/>
    </row>
    <row r="37" spans="1:39" ht="15.6" x14ac:dyDescent="0.3">
      <c r="A37" s="11"/>
      <c r="B37" s="14"/>
      <c r="C37" s="15" t="s">
        <v>4</v>
      </c>
      <c r="D37" s="27">
        <v>100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8">
        <f t="shared" si="11"/>
        <v>100</v>
      </c>
      <c r="AK37" s="16">
        <v>0.3</v>
      </c>
      <c r="AL37" s="31"/>
      <c r="AM37" s="34"/>
    </row>
    <row r="38" spans="1:39" ht="15.6" x14ac:dyDescent="0.3">
      <c r="A38" s="9">
        <v>1027</v>
      </c>
      <c r="B38" s="12" t="s">
        <v>82</v>
      </c>
      <c r="C38" s="15" t="s">
        <v>3</v>
      </c>
      <c r="D38" s="27">
        <v>100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8">
        <f t="shared" si="11"/>
        <v>100</v>
      </c>
      <c r="AK38" s="16">
        <v>0.4</v>
      </c>
      <c r="AL38" s="29">
        <f>AJ38*AK38+AJ39*AK39+AJ40*AK40</f>
        <v>100</v>
      </c>
      <c r="AM38" s="32">
        <f t="shared" ref="AM38" si="13">IF(AL38&gt;100,105%,IF(AL38&gt;=95,100%,IF(AL38&gt;=90,90%,IF(AL38&gt;=80,70%,IF(AL38&gt;=70,50%,0%)))))</f>
        <v>1</v>
      </c>
    </row>
    <row r="39" spans="1:39" ht="15.6" x14ac:dyDescent="0.3">
      <c r="A39" s="10"/>
      <c r="B39" s="13"/>
      <c r="C39" s="15" t="s">
        <v>53</v>
      </c>
      <c r="D39" s="27">
        <v>100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8">
        <f t="shared" si="11"/>
        <v>100</v>
      </c>
      <c r="AK39" s="16">
        <v>0.3</v>
      </c>
      <c r="AL39" s="30"/>
      <c r="AM39" s="33"/>
    </row>
    <row r="40" spans="1:39" ht="15.6" x14ac:dyDescent="0.3">
      <c r="A40" s="11"/>
      <c r="B40" s="14"/>
      <c r="C40" s="15" t="s">
        <v>4</v>
      </c>
      <c r="D40" s="27">
        <v>100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8">
        <f t="shared" si="11"/>
        <v>100</v>
      </c>
      <c r="AK40" s="16">
        <v>0.3</v>
      </c>
      <c r="AL40" s="31"/>
      <c r="AM40" s="34"/>
    </row>
    <row r="41" spans="1:39" ht="15.6" x14ac:dyDescent="0.3">
      <c r="A41" s="9">
        <v>1028</v>
      </c>
      <c r="B41" s="12" t="s">
        <v>83</v>
      </c>
      <c r="C41" s="15" t="s">
        <v>3</v>
      </c>
      <c r="D41" s="27">
        <v>100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8">
        <f t="shared" si="11"/>
        <v>100</v>
      </c>
      <c r="AK41" s="16">
        <v>0.4</v>
      </c>
      <c r="AL41" s="29">
        <f>AJ41*AK41+AJ42*AK42+AJ43*AK43</f>
        <v>100</v>
      </c>
      <c r="AM41" s="32">
        <f t="shared" ref="AM41" si="14">IF(AL41&gt;100,105%,IF(AL41&gt;=95,100%,IF(AL41&gt;=90,90%,IF(AL41&gt;=80,70%,IF(AL41&gt;=70,50%,0%)))))</f>
        <v>1</v>
      </c>
    </row>
    <row r="42" spans="1:39" ht="15.6" x14ac:dyDescent="0.3">
      <c r="A42" s="10"/>
      <c r="B42" s="13"/>
      <c r="C42" s="15" t="s">
        <v>53</v>
      </c>
      <c r="D42" s="27">
        <v>100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8">
        <f t="shared" si="11"/>
        <v>100</v>
      </c>
      <c r="AK42" s="16">
        <v>0.3</v>
      </c>
      <c r="AL42" s="30"/>
      <c r="AM42" s="33"/>
    </row>
    <row r="43" spans="1:39" ht="14.4" customHeight="1" x14ac:dyDescent="0.3">
      <c r="A43" s="11"/>
      <c r="B43" s="14"/>
      <c r="C43" s="15" t="s">
        <v>4</v>
      </c>
      <c r="D43" s="27">
        <v>100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8">
        <f t="shared" si="11"/>
        <v>100</v>
      </c>
      <c r="AK43" s="16">
        <v>0.3</v>
      </c>
      <c r="AL43" s="31"/>
      <c r="AM43" s="34"/>
    </row>
    <row r="44" spans="1:39" ht="15.6" x14ac:dyDescent="0.3">
      <c r="A44" s="9">
        <v>1030</v>
      </c>
      <c r="B44" s="12" t="s">
        <v>85</v>
      </c>
      <c r="C44" s="15" t="s">
        <v>3</v>
      </c>
      <c r="D44" s="27">
        <v>100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8">
        <f t="shared" si="11"/>
        <v>100</v>
      </c>
      <c r="AK44" s="16">
        <v>0.4</v>
      </c>
      <c r="AL44" s="29">
        <f t="shared" ref="AL44" si="15">AJ44*AK44+AJ45*AK45+AJ46*AK46</f>
        <v>100</v>
      </c>
      <c r="AM44" s="32">
        <f t="shared" ref="AM44" si="16">IF(AL44&gt;100,105%,IF(AL44&gt;=95,100%,IF(AL44&gt;=90,90%,IF(AL44&gt;=80,70%,IF(AL44&gt;=70,50%,0%)))))</f>
        <v>1</v>
      </c>
    </row>
    <row r="45" spans="1:39" ht="15.6" x14ac:dyDescent="0.3">
      <c r="A45" s="10"/>
      <c r="B45" s="13"/>
      <c r="C45" s="15" t="s">
        <v>53</v>
      </c>
      <c r="D45" s="27">
        <v>100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8">
        <f t="shared" si="11"/>
        <v>100</v>
      </c>
      <c r="AK45" s="16">
        <v>0.3</v>
      </c>
      <c r="AL45" s="30"/>
      <c r="AM45" s="33"/>
    </row>
    <row r="46" spans="1:39" ht="15.6" x14ac:dyDescent="0.3">
      <c r="A46" s="11"/>
      <c r="B46" s="14"/>
      <c r="C46" s="15" t="s">
        <v>4</v>
      </c>
      <c r="D46" s="27">
        <v>100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8">
        <f t="shared" si="11"/>
        <v>100</v>
      </c>
      <c r="AK46" s="16">
        <v>0.3</v>
      </c>
      <c r="AL46" s="31"/>
      <c r="AM46" s="34"/>
    </row>
    <row r="47" spans="1:39" ht="15.6" x14ac:dyDescent="0.3">
      <c r="A47" s="3"/>
      <c r="B47" s="3"/>
      <c r="C47" s="3"/>
      <c r="D47" s="2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3"/>
      <c r="AK47" s="7"/>
      <c r="AL47" s="3"/>
      <c r="AM47" s="3"/>
    </row>
    <row r="48" spans="1:39" ht="15.6" x14ac:dyDescent="0.3">
      <c r="A48" s="3"/>
      <c r="B48" s="3" t="str">
        <f>'[1]Bảng lương LC'!D40</f>
        <v>TỔNG CỘNG</v>
      </c>
      <c r="C48" s="3"/>
      <c r="D48" s="2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3"/>
      <c r="AK48" s="7"/>
      <c r="AL48" s="3"/>
      <c r="AM48" s="3"/>
    </row>
    <row r="51" spans="2:39" x14ac:dyDescent="0.3">
      <c r="B51" s="35" t="s">
        <v>5</v>
      </c>
      <c r="AJ51" s="8"/>
      <c r="AL51" s="8"/>
    </row>
    <row r="52" spans="2:39" x14ac:dyDescent="0.3">
      <c r="B52" t="s">
        <v>6</v>
      </c>
      <c r="AJ52" s="8"/>
      <c r="AL52" s="8"/>
    </row>
    <row r="53" spans="2:39" x14ac:dyDescent="0.3">
      <c r="B53" s="37" t="s">
        <v>7</v>
      </c>
      <c r="C53" s="8" t="s">
        <v>8</v>
      </c>
      <c r="AJ53" s="8"/>
    </row>
    <row r="54" spans="2:39" x14ac:dyDescent="0.3">
      <c r="B54" s="37" t="s">
        <v>9</v>
      </c>
      <c r="C54" s="8" t="s">
        <v>10</v>
      </c>
      <c r="AJ54" s="8"/>
    </row>
    <row r="55" spans="2:39" x14ac:dyDescent="0.3">
      <c r="B55" s="37" t="s">
        <v>11</v>
      </c>
      <c r="C55" t="s">
        <v>12</v>
      </c>
      <c r="AJ55" s="8"/>
    </row>
    <row r="56" spans="2:39" x14ac:dyDescent="0.3">
      <c r="B56" s="37" t="s">
        <v>13</v>
      </c>
      <c r="C56" t="s">
        <v>14</v>
      </c>
      <c r="AJ56" s="8"/>
    </row>
    <row r="57" spans="2:39" x14ac:dyDescent="0.3">
      <c r="B57" s="37" t="s">
        <v>13</v>
      </c>
      <c r="C57" t="s">
        <v>15</v>
      </c>
      <c r="AJ57" s="8"/>
    </row>
    <row r="58" spans="2:39" x14ac:dyDescent="0.3">
      <c r="B58" s="37" t="s">
        <v>16</v>
      </c>
      <c r="C58" t="s">
        <v>17</v>
      </c>
      <c r="AJ58" s="8"/>
    </row>
    <row r="59" spans="2:39" x14ac:dyDescent="0.3">
      <c r="B59" s="37" t="s">
        <v>18</v>
      </c>
      <c r="C59" t="s">
        <v>19</v>
      </c>
    </row>
    <row r="60" spans="2:39" x14ac:dyDescent="0.3">
      <c r="B60" s="37" t="s">
        <v>20</v>
      </c>
      <c r="C60" t="s">
        <v>21</v>
      </c>
      <c r="AJ60" s="8"/>
    </row>
    <row r="61" spans="2:39" x14ac:dyDescent="0.3">
      <c r="B61" s="35" t="s">
        <v>22</v>
      </c>
      <c r="AJ61" s="8"/>
    </row>
    <row r="62" spans="2:39" x14ac:dyDescent="0.3">
      <c r="B62" s="8" t="s">
        <v>13</v>
      </c>
      <c r="C62" t="s">
        <v>23</v>
      </c>
      <c r="AJ62" s="8"/>
    </row>
    <row r="63" spans="2:39" s="2" customFormat="1" x14ac:dyDescent="0.3">
      <c r="B63" s="8" t="s">
        <v>9</v>
      </c>
      <c r="C63" t="s">
        <v>24</v>
      </c>
      <c r="D6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8"/>
      <c r="AK63" s="1"/>
      <c r="AL63"/>
      <c r="AM63"/>
    </row>
    <row r="64" spans="2:39" s="2" customFormat="1" x14ac:dyDescent="0.3">
      <c r="B64" s="8" t="s">
        <v>13</v>
      </c>
      <c r="C64" t="s">
        <v>25</v>
      </c>
      <c r="D64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8"/>
      <c r="AK64" s="1"/>
      <c r="AL64"/>
      <c r="AM64"/>
    </row>
    <row r="65" spans="2:39" x14ac:dyDescent="0.3">
      <c r="B65" s="8" t="s">
        <v>13</v>
      </c>
      <c r="C65" t="s">
        <v>26</v>
      </c>
    </row>
    <row r="66" spans="2:39" s="2" customFormat="1" x14ac:dyDescent="0.3">
      <c r="B66" s="8" t="s">
        <v>27</v>
      </c>
      <c r="C66" t="s">
        <v>28</v>
      </c>
      <c r="D66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8"/>
      <c r="AK66" s="1"/>
      <c r="AL66"/>
      <c r="AM66"/>
    </row>
    <row r="67" spans="2:39" s="2" customFormat="1" x14ac:dyDescent="0.3">
      <c r="B67" s="35" t="s">
        <v>4</v>
      </c>
      <c r="C67"/>
      <c r="D6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8"/>
      <c r="AK67" s="1"/>
      <c r="AL67"/>
      <c r="AM67"/>
    </row>
    <row r="68" spans="2:39" s="2" customFormat="1" x14ac:dyDescent="0.3">
      <c r="B68" s="8" t="s">
        <v>11</v>
      </c>
      <c r="C68" t="s">
        <v>29</v>
      </c>
      <c r="D68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8"/>
      <c r="AK68" s="1"/>
      <c r="AL68"/>
      <c r="AM68"/>
    </row>
    <row r="69" spans="2:39" s="2" customFormat="1" x14ac:dyDescent="0.3">
      <c r="B69" s="8" t="s">
        <v>30</v>
      </c>
      <c r="C69" t="s">
        <v>31</v>
      </c>
      <c r="D6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8"/>
      <c r="AK69" s="1"/>
      <c r="AL69"/>
      <c r="AM69"/>
    </row>
    <row r="70" spans="2:39" x14ac:dyDescent="0.3">
      <c r="B70" s="8" t="s">
        <v>11</v>
      </c>
      <c r="C70" t="s">
        <v>32</v>
      </c>
    </row>
    <row r="71" spans="2:39" s="2" customFormat="1" x14ac:dyDescent="0.3">
      <c r="B71" s="8" t="s">
        <v>13</v>
      </c>
      <c r="C71" t="s">
        <v>33</v>
      </c>
      <c r="D7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/>
      <c r="AK71" s="1"/>
      <c r="AL71"/>
      <c r="AM71"/>
    </row>
    <row r="72" spans="2:39" s="2" customFormat="1" x14ac:dyDescent="0.3">
      <c r="B72" s="8"/>
      <c r="C72"/>
      <c r="D7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/>
      <c r="AK72" s="1"/>
      <c r="AL72"/>
      <c r="AM72"/>
    </row>
    <row r="73" spans="2:39" s="2" customFormat="1" x14ac:dyDescent="0.3">
      <c r="B73" s="35" t="s">
        <v>34</v>
      </c>
      <c r="C73"/>
      <c r="D7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/>
      <c r="AK73" s="1"/>
      <c r="AL73"/>
      <c r="AM73" s="8"/>
    </row>
    <row r="74" spans="2:39" s="2" customFormat="1" x14ac:dyDescent="0.3">
      <c r="B74" t="s">
        <v>35</v>
      </c>
      <c r="C74"/>
      <c r="D74" s="8" t="s">
        <v>36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/>
      <c r="AK74" s="1"/>
      <c r="AL74"/>
      <c r="AM74"/>
    </row>
    <row r="75" spans="2:39" x14ac:dyDescent="0.3">
      <c r="B75" s="36" t="s">
        <v>37</v>
      </c>
    </row>
    <row r="76" spans="2:39" s="2" customFormat="1" x14ac:dyDescent="0.3">
      <c r="B76"/>
      <c r="C76"/>
      <c r="D7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/>
      <c r="AK76" s="1"/>
      <c r="AL76"/>
      <c r="AM76" s="8"/>
    </row>
    <row r="77" spans="2:39" s="2" customFormat="1" x14ac:dyDescent="0.3">
      <c r="B77" t="s">
        <v>38</v>
      </c>
      <c r="C77"/>
      <c r="D77" s="8" t="s">
        <v>36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/>
      <c r="AK77" s="1"/>
      <c r="AL77"/>
      <c r="AM77"/>
    </row>
    <row r="78" spans="2:39" x14ac:dyDescent="0.3">
      <c r="B78" s="1" t="s">
        <v>39</v>
      </c>
    </row>
    <row r="79" spans="2:39" s="2" customFormat="1" x14ac:dyDescent="0.3">
      <c r="B79"/>
      <c r="C79"/>
      <c r="D7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/>
      <c r="AK79" s="1"/>
      <c r="AL79"/>
      <c r="AM79" s="8"/>
    </row>
    <row r="80" spans="2:39" x14ac:dyDescent="0.3">
      <c r="B80" t="s">
        <v>40</v>
      </c>
      <c r="D80" s="8" t="s">
        <v>36</v>
      </c>
    </row>
    <row r="81" spans="2:3" x14ac:dyDescent="0.3">
      <c r="B81" s="1" t="s">
        <v>41</v>
      </c>
    </row>
    <row r="83" spans="2:3" x14ac:dyDescent="0.3">
      <c r="B83" t="s">
        <v>42</v>
      </c>
    </row>
    <row r="85" spans="2:3" ht="15.6" x14ac:dyDescent="0.3">
      <c r="B85" s="41" t="s">
        <v>43</v>
      </c>
      <c r="C85" s="40" t="s">
        <v>44</v>
      </c>
    </row>
    <row r="86" spans="2:3" ht="15.6" x14ac:dyDescent="0.3">
      <c r="B86" s="42" t="s">
        <v>45</v>
      </c>
      <c r="C86" s="38">
        <v>1.05</v>
      </c>
    </row>
    <row r="87" spans="2:3" ht="15.6" x14ac:dyDescent="0.3">
      <c r="B87" s="42" t="s">
        <v>46</v>
      </c>
      <c r="C87" s="38">
        <v>1</v>
      </c>
    </row>
    <row r="88" spans="2:3" ht="15.6" x14ac:dyDescent="0.3">
      <c r="B88" s="42" t="s">
        <v>47</v>
      </c>
      <c r="C88" s="38">
        <v>0.9</v>
      </c>
    </row>
    <row r="89" spans="2:3" ht="15.6" x14ac:dyDescent="0.3">
      <c r="B89" s="42" t="s">
        <v>48</v>
      </c>
      <c r="C89" s="38">
        <v>0.7</v>
      </c>
    </row>
    <row r="90" spans="2:3" ht="15.6" x14ac:dyDescent="0.3">
      <c r="B90" s="42" t="s">
        <v>49</v>
      </c>
      <c r="C90" s="38">
        <v>0.5</v>
      </c>
    </row>
    <row r="91" spans="2:3" ht="15.6" x14ac:dyDescent="0.3">
      <c r="B91" s="42" t="s">
        <v>50</v>
      </c>
      <c r="C91" s="39">
        <v>0</v>
      </c>
    </row>
  </sheetData>
  <mergeCells count="58">
    <mergeCell ref="A44:A46"/>
    <mergeCell ref="B44:B46"/>
    <mergeCell ref="AL44:AL46"/>
    <mergeCell ref="AM44:AM46"/>
    <mergeCell ref="A38:A40"/>
    <mergeCell ref="B38:B40"/>
    <mergeCell ref="AL38:AL40"/>
    <mergeCell ref="AM38:AM40"/>
    <mergeCell ref="A41:A43"/>
    <mergeCell ref="B41:B43"/>
    <mergeCell ref="AL41:AL43"/>
    <mergeCell ref="AM41:AM43"/>
    <mergeCell ref="A35:A37"/>
    <mergeCell ref="B35:B37"/>
    <mergeCell ref="AL35:AL37"/>
    <mergeCell ref="AM35:AM37"/>
    <mergeCell ref="A29:A31"/>
    <mergeCell ref="B29:B31"/>
    <mergeCell ref="AL29:AL31"/>
    <mergeCell ref="AM29:AM31"/>
    <mergeCell ref="A32:A34"/>
    <mergeCell ref="B32:B34"/>
    <mergeCell ref="AL32:AL34"/>
    <mergeCell ref="AM32:AM34"/>
    <mergeCell ref="A23:A25"/>
    <mergeCell ref="B23:B25"/>
    <mergeCell ref="AL23:AL25"/>
    <mergeCell ref="AM23:AM25"/>
    <mergeCell ref="A26:A28"/>
    <mergeCell ref="B26:B28"/>
    <mergeCell ref="AL26:AL28"/>
    <mergeCell ref="AM26:AM28"/>
    <mergeCell ref="A17:A19"/>
    <mergeCell ref="B17:B19"/>
    <mergeCell ref="AL17:AL19"/>
    <mergeCell ref="AM17:AM19"/>
    <mergeCell ref="A20:A22"/>
    <mergeCell ref="B20:B22"/>
    <mergeCell ref="AL20:AL22"/>
    <mergeCell ref="AM20:AM22"/>
    <mergeCell ref="A11:A13"/>
    <mergeCell ref="B11:B13"/>
    <mergeCell ref="AL11:AL13"/>
    <mergeCell ref="AM11:AM13"/>
    <mergeCell ref="A14:A16"/>
    <mergeCell ref="B14:B16"/>
    <mergeCell ref="AL14:AL16"/>
    <mergeCell ref="AM14:AM16"/>
    <mergeCell ref="A8:A10"/>
    <mergeCell ref="B8:B10"/>
    <mergeCell ref="AL8:AL10"/>
    <mergeCell ref="AM8:AM10"/>
    <mergeCell ref="A1:AM1"/>
    <mergeCell ref="E3:AI3"/>
    <mergeCell ref="A5:A7"/>
    <mergeCell ref="B5:B7"/>
    <mergeCell ref="AL5:AL7"/>
    <mergeCell ref="AM5:A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Manager</vt:lpstr>
      <vt:lpstr>Văn phòng + Hỗ trợ</vt:lpstr>
      <vt:lpstr>Giáo viên HS</vt:lpstr>
      <vt:lpstr>Giáo viên 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Nguyễn</dc:creator>
  <cp:lastModifiedBy>Duy Nguyễn</cp:lastModifiedBy>
  <dcterms:created xsi:type="dcterms:W3CDTF">2026-08-15T01:20:05Z</dcterms:created>
  <dcterms:modified xsi:type="dcterms:W3CDTF">2026-08-15T02:20:01Z</dcterms:modified>
</cp:coreProperties>
</file>